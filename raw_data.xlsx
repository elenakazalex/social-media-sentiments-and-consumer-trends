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ing_freq" sheetId="1" r:id="rId5"/>
    <sheet state="visible" name="search_freq" sheetId="2" r:id="rId6"/>
  </sheets>
  <definedNames/>
  <calcPr/>
</workbook>
</file>

<file path=xl/sharedStrings.xml><?xml version="1.0" encoding="utf-8"?>
<sst xmlns="http://schemas.openxmlformats.org/spreadsheetml/2006/main" count="334" uniqueCount="118">
  <si>
    <t>brand</t>
  </si>
  <si>
    <t>category</t>
  </si>
  <si>
    <t>type</t>
  </si>
  <si>
    <t>mean</t>
  </si>
  <si>
    <t>sd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</si>
  <si>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</si>
  <si>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</si>
  <si>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</si>
  <si>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</si>
  <si>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</si>
  <si>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</si>
  <si>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</si>
  <si>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</si>
  <si>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</si>
  <si>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</si>
  <si>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</si>
  <si>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</si>
  <si>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</si>
  <si>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</si>
  <si>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</si>
  <si>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</si>
  <si>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</si>
  <si>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</si>
  <si>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</si>
  <si>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</si>
  <si>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</si>
  <si>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</si>
  <si>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</si>
  <si>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</si>
  <si>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ifelse1</t>
  </si>
  <si>
    <t>ifelse2</t>
  </si>
  <si>
    <t>ifelse3</t>
  </si>
  <si>
    <t>ifelse4</t>
  </si>
  <si>
    <t>ifelse5</t>
  </si>
  <si>
    <t>ifelse6</t>
  </si>
  <si>
    <t>ifelse7</t>
  </si>
  <si>
    <t>ifelse8</t>
  </si>
  <si>
    <t>ifelse9</t>
  </si>
  <si>
    <t>ifelse10</t>
  </si>
  <si>
    <t>ifelse11</t>
  </si>
  <si>
    <t>ifelse12</t>
  </si>
  <si>
    <t>ifelse13</t>
  </si>
  <si>
    <t>ifelse14</t>
  </si>
  <si>
    <t>ifelse15</t>
  </si>
  <si>
    <t>ifelse16</t>
  </si>
  <si>
    <t>ifelse17</t>
  </si>
  <si>
    <t>ifelse18</t>
  </si>
  <si>
    <t>ifelse19</t>
  </si>
  <si>
    <t>ifelse20</t>
  </si>
  <si>
    <t>ifelse21</t>
  </si>
  <si>
    <t>ifelse22</t>
  </si>
  <si>
    <t>ifelse23</t>
  </si>
  <si>
    <t>ifelse24</t>
  </si>
  <si>
    <t>Pop Mart (Labubu)</t>
  </si>
  <si>
    <t>Accessories</t>
  </si>
  <si>
    <t>Toy</t>
  </si>
  <si>
    <t>Miu Miu</t>
  </si>
  <si>
    <t>Eyewear</t>
  </si>
  <si>
    <t>SKIMS</t>
  </si>
  <si>
    <t>Clothes</t>
  </si>
  <si>
    <t>Balenciaga</t>
  </si>
  <si>
    <t>Acne Studios</t>
  </si>
  <si>
    <t>NINJA</t>
  </si>
  <si>
    <t>Appliance</t>
  </si>
  <si>
    <t>Electronics</t>
  </si>
  <si>
    <t>American Eagle</t>
  </si>
  <si>
    <t>Jeans</t>
  </si>
  <si>
    <t>GAP</t>
  </si>
  <si>
    <t>Jet2</t>
  </si>
  <si>
    <t>Travel</t>
  </si>
  <si>
    <t>Airline</t>
  </si>
  <si>
    <t>Duolingo</t>
  </si>
  <si>
    <t>Service</t>
  </si>
  <si>
    <t>App</t>
  </si>
  <si>
    <t>Dunkin'</t>
  </si>
  <si>
    <t>Food</t>
  </si>
  <si>
    <t>Desserts</t>
  </si>
  <si>
    <t>Mattel</t>
  </si>
  <si>
    <t>Rhode</t>
  </si>
  <si>
    <t>Cosmetics</t>
  </si>
  <si>
    <t>Phone case</t>
  </si>
  <si>
    <t>Medicube</t>
  </si>
  <si>
    <t>Skincare</t>
  </si>
  <si>
    <t>VT COSMETICS</t>
  </si>
  <si>
    <t>Dyson</t>
  </si>
  <si>
    <t>Spotify</t>
  </si>
  <si>
    <t>Rare Beauty</t>
  </si>
  <si>
    <t>Kylie Cosmetics</t>
  </si>
  <si>
    <t>Nike, SKIMS</t>
  </si>
  <si>
    <t>Sportswear</t>
  </si>
  <si>
    <t>Cracker Barrel</t>
  </si>
  <si>
    <t>Restaurant</t>
  </si>
  <si>
    <t>Amazon</t>
  </si>
  <si>
    <t>Marketplace</t>
  </si>
  <si>
    <t>L’Oréal</t>
  </si>
  <si>
    <t>Swatch</t>
  </si>
  <si>
    <t>Watches</t>
  </si>
  <si>
    <t>Sanex</t>
  </si>
  <si>
    <t>E.l.f. Cosmetics</t>
  </si>
  <si>
    <t>Stanley</t>
  </si>
  <si>
    <t>Cup</t>
  </si>
  <si>
    <t>Maison Van Cleef &amp; Arples</t>
  </si>
  <si>
    <t>Bracelet</t>
  </si>
  <si>
    <t>VeriSource</t>
  </si>
  <si>
    <t>Quaker Oats</t>
  </si>
  <si>
    <t>Pre-made food</t>
  </si>
  <si>
    <t>Qatar Airways</t>
  </si>
  <si>
    <t>HYBE</t>
  </si>
  <si>
    <t>Entertainment</t>
  </si>
  <si>
    <t>Music</t>
  </si>
  <si>
    <t>HBO Max</t>
  </si>
  <si>
    <t>Streaming</t>
  </si>
  <si>
    <t>Fix Dessert Chocolatier</t>
  </si>
  <si>
    <t>Four Seasons Resort Koh Samui</t>
  </si>
  <si>
    <t>Hotel</t>
  </si>
  <si>
    <t>Xiaomi</t>
  </si>
  <si>
    <t>Huawei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</si>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</sst>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Font="1" applyNumberFormat="1"/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75"/>
  </cols>
  <sheetData>
    <row r="1">
      <c r="A1" s="1" t="s">
        <v>0</v>
      </c>
      <c r="B1" s="1" t="s">
        <v>1</v>
      </c>
      <c r="C1" s="1" t="s">
        <v>2</v>
      </c>
      <c r="D1" s="2">
        <v>45261.0</v>
      </c>
      <c r="E1" s="2">
        <v>45292.0</v>
      </c>
      <c r="F1" s="2">
        <v>45323.0</v>
      </c>
      <c r="G1" s="2">
        <v>45352.0</v>
      </c>
      <c r="H1" s="2">
        <v>45383.0</v>
      </c>
      <c r="I1" s="2">
        <v>45413.0</v>
      </c>
      <c r="J1" s="2">
        <v>45444.0</v>
      </c>
      <c r="K1" s="2">
        <v>45474.0</v>
      </c>
      <c r="L1" s="2">
        <v>45505.0</v>
      </c>
      <c r="M1" s="2">
        <v>45536.0</v>
      </c>
      <c r="N1" s="2">
        <v>45566.0</v>
      </c>
      <c r="O1" s="2">
        <v>45597.0</v>
      </c>
      <c r="P1" s="2">
        <v>45627.0</v>
      </c>
      <c r="Q1" s="2">
        <v>45658.0</v>
      </c>
      <c r="R1" s="2">
        <v>45689.0</v>
      </c>
      <c r="S1" s="2">
        <v>45717.0</v>
      </c>
      <c r="T1" s="2">
        <v>45748.0</v>
      </c>
      <c r="U1" s="2">
        <v>45778.0</v>
      </c>
      <c r="V1" s="2">
        <v>45809.0</v>
      </c>
      <c r="W1" s="2">
        <v>45839.0</v>
      </c>
      <c r="X1" s="2">
        <v>45870.0</v>
      </c>
      <c r="Y1" s="2">
        <v>45901.0</v>
      </c>
      <c r="Z1" s="2">
        <v>45931.0</v>
      </c>
      <c r="AA1" s="2">
        <v>45962.0</v>
      </c>
      <c r="AB1" s="1" t="s">
        <v>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  <c r="AX1" s="1" t="s">
        <v>25</v>
      </c>
      <c r="AY1" s="1" t="s">
        <v>26</v>
      </c>
      <c r="AZ1" s="1" t="s">
        <v>27</v>
      </c>
      <c r="BA1" s="1" t="s">
        <v>28</v>
      </c>
      <c r="BB1" s="1" t="s">
        <v>29</v>
      </c>
      <c r="BC1" s="1" t="s">
        <v>30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43</v>
      </c>
      <c r="BQ1" s="1" t="s">
        <v>44</v>
      </c>
      <c r="BR1" s="1" t="s">
        <v>45</v>
      </c>
      <c r="BS1" s="1" t="s">
        <v>46</v>
      </c>
      <c r="BT1" s="1" t="s">
        <v>47</v>
      </c>
      <c r="BU1" s="1" t="s">
        <v>48</v>
      </c>
      <c r="BV1" s="1" t="s">
        <v>49</v>
      </c>
      <c r="BW1" s="1" t="s">
        <v>50</v>
      </c>
      <c r="BX1" s="1" t="s">
        <v>51</v>
      </c>
      <c r="BY1" s="1" t="s">
        <v>52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>
      <c r="A2" s="1" t="s">
        <v>53</v>
      </c>
      <c r="B2" s="1" t="s">
        <v>54</v>
      </c>
      <c r="C2" s="1" t="s">
        <v>55</v>
      </c>
      <c r="D2" s="1">
        <v>700.0</v>
      </c>
      <c r="E2" s="1">
        <v>700.0</v>
      </c>
      <c r="F2" s="1">
        <v>1300.0</v>
      </c>
      <c r="G2" s="1">
        <v>1700.0</v>
      </c>
      <c r="H2" s="1">
        <v>6200.0</v>
      </c>
      <c r="I2" s="1">
        <v>5300.0</v>
      </c>
      <c r="J2" s="1">
        <v>3600.0</v>
      </c>
      <c r="K2" s="1">
        <v>12500.0</v>
      </c>
      <c r="L2" s="1">
        <v>9900.0</v>
      </c>
      <c r="M2" s="1">
        <v>35900.0</v>
      </c>
      <c r="N2" s="1">
        <v>74300.0</v>
      </c>
      <c r="O2" s="1">
        <v>74800.0</v>
      </c>
      <c r="P2" s="1">
        <v>63600.0</v>
      </c>
      <c r="Q2" s="1">
        <v>50200.0</v>
      </c>
      <c r="R2" s="1">
        <v>50800.0</v>
      </c>
      <c r="S2" s="1">
        <v>93000.0</v>
      </c>
      <c r="T2" s="1">
        <v>102200.0</v>
      </c>
      <c r="U2" s="1">
        <v>191600.0</v>
      </c>
      <c r="V2" s="1">
        <v>678600.0</v>
      </c>
      <c r="W2" s="1">
        <v>558100.0</v>
      </c>
      <c r="X2" s="1">
        <v>428200.0</v>
      </c>
      <c r="Y2" s="1">
        <v>367300.0</v>
      </c>
      <c r="Z2" s="1">
        <v>196200.0</v>
      </c>
      <c r="AA2" s="1">
        <v>161100.0</v>
      </c>
      <c r="AB2" s="3">
        <f t="shared" ref="AB2:AB39" si="3">AVERAGE(D2:AA2)
</f>
        <v>131991.6667</v>
      </c>
      <c r="AC2" s="4">
        <f t="shared" ref="AC2:AC39" si="4">STDEV(D2:AA2)</f>
        <v>188155.375</v>
      </c>
      <c r="AD2" s="4">
        <f t="shared" ref="AD2:BA2" si="1">(D2-$AB2)/$AC2</f>
        <v>-0.6977832372</v>
      </c>
      <c r="AE2" s="4">
        <f t="shared" si="1"/>
        <v>-0.6977832372</v>
      </c>
      <c r="AF2" s="4">
        <f t="shared" si="1"/>
        <v>-0.6945943833</v>
      </c>
      <c r="AG2" s="4">
        <f t="shared" si="1"/>
        <v>-0.6924684807</v>
      </c>
      <c r="AH2" s="4">
        <f t="shared" si="1"/>
        <v>-0.6685520765</v>
      </c>
      <c r="AI2" s="4">
        <f t="shared" si="1"/>
        <v>-0.6733353573</v>
      </c>
      <c r="AJ2" s="4">
        <f t="shared" si="1"/>
        <v>-0.6823704434</v>
      </c>
      <c r="AK2" s="4">
        <f t="shared" si="1"/>
        <v>-0.6350691106</v>
      </c>
      <c r="AL2" s="4">
        <f t="shared" si="1"/>
        <v>-0.6488874775</v>
      </c>
      <c r="AM2" s="4">
        <f t="shared" si="1"/>
        <v>-0.5107038088</v>
      </c>
      <c r="AN2" s="4">
        <f t="shared" si="1"/>
        <v>-0.3066171597</v>
      </c>
      <c r="AO2" s="4">
        <f t="shared" si="1"/>
        <v>-0.3039597815</v>
      </c>
      <c r="AP2" s="4">
        <f t="shared" si="1"/>
        <v>-0.3634850541</v>
      </c>
      <c r="AQ2" s="4">
        <f t="shared" si="1"/>
        <v>-0.434702791</v>
      </c>
      <c r="AR2" s="4">
        <f t="shared" si="1"/>
        <v>-0.4315139372</v>
      </c>
      <c r="AS2" s="4">
        <f t="shared" si="1"/>
        <v>-0.2072312134</v>
      </c>
      <c r="AT2" s="4">
        <f t="shared" si="1"/>
        <v>-0.1583354537</v>
      </c>
      <c r="AU2" s="4">
        <f t="shared" si="1"/>
        <v>0.3168037763</v>
      </c>
      <c r="AV2" s="4">
        <f t="shared" si="1"/>
        <v>2.905090186</v>
      </c>
      <c r="AW2" s="4">
        <f t="shared" si="1"/>
        <v>2.264662029</v>
      </c>
      <c r="AX2" s="4">
        <f t="shared" si="1"/>
        <v>1.574275161</v>
      </c>
      <c r="AY2" s="4">
        <f t="shared" si="1"/>
        <v>1.250606491</v>
      </c>
      <c r="AZ2" s="4">
        <f t="shared" si="1"/>
        <v>0.3412516561</v>
      </c>
      <c r="BA2" s="4">
        <f t="shared" si="1"/>
        <v>0.1547037034</v>
      </c>
      <c r="BB2" s="4">
        <f t="shared" ref="BB2:BY2" si="2">IF(AD2&gt;=1,1,0)
</f>
        <v>0</v>
      </c>
      <c r="BC2" s="4">
        <f t="shared" si="2"/>
        <v>0</v>
      </c>
      <c r="BD2" s="4">
        <f t="shared" si="2"/>
        <v>0</v>
      </c>
      <c r="BE2" s="4">
        <f t="shared" si="2"/>
        <v>0</v>
      </c>
      <c r="BF2" s="4">
        <f t="shared" si="2"/>
        <v>0</v>
      </c>
      <c r="BG2" s="4">
        <f t="shared" si="2"/>
        <v>0</v>
      </c>
      <c r="BH2" s="4">
        <f t="shared" si="2"/>
        <v>0</v>
      </c>
      <c r="BI2" s="4">
        <f t="shared" si="2"/>
        <v>0</v>
      </c>
      <c r="BJ2" s="4">
        <f t="shared" si="2"/>
        <v>0</v>
      </c>
      <c r="BK2" s="4">
        <f t="shared" si="2"/>
        <v>0</v>
      </c>
      <c r="BL2" s="4">
        <f t="shared" si="2"/>
        <v>0</v>
      </c>
      <c r="BM2" s="4">
        <f t="shared" si="2"/>
        <v>0</v>
      </c>
      <c r="BN2" s="4">
        <f t="shared" si="2"/>
        <v>0</v>
      </c>
      <c r="BO2" s="4">
        <f t="shared" si="2"/>
        <v>0</v>
      </c>
      <c r="BP2" s="4">
        <f t="shared" si="2"/>
        <v>0</v>
      </c>
      <c r="BQ2" s="4">
        <f t="shared" si="2"/>
        <v>0</v>
      </c>
      <c r="BR2" s="4">
        <f t="shared" si="2"/>
        <v>0</v>
      </c>
      <c r="BS2" s="4">
        <f t="shared" si="2"/>
        <v>0</v>
      </c>
      <c r="BT2" s="4">
        <f t="shared" si="2"/>
        <v>1</v>
      </c>
      <c r="BU2" s="4">
        <f t="shared" si="2"/>
        <v>1</v>
      </c>
      <c r="BV2" s="4">
        <f t="shared" si="2"/>
        <v>1</v>
      </c>
      <c r="BW2" s="4">
        <f t="shared" si="2"/>
        <v>1</v>
      </c>
      <c r="BX2" s="4">
        <f t="shared" si="2"/>
        <v>0</v>
      </c>
      <c r="BY2" s="4">
        <f t="shared" si="2"/>
        <v>0</v>
      </c>
    </row>
    <row r="3">
      <c r="A3" s="1" t="s">
        <v>56</v>
      </c>
      <c r="B3" s="1" t="s">
        <v>54</v>
      </c>
      <c r="C3" s="1" t="s">
        <v>57</v>
      </c>
      <c r="D3" s="1">
        <v>9700.0</v>
      </c>
      <c r="E3" s="1">
        <v>16100.0</v>
      </c>
      <c r="F3" s="1">
        <v>9500.0</v>
      </c>
      <c r="G3" s="1">
        <v>17700.0</v>
      </c>
      <c r="H3" s="1">
        <v>16300.0</v>
      </c>
      <c r="I3" s="1">
        <v>11700.0</v>
      </c>
      <c r="J3" s="1">
        <v>13600.0</v>
      </c>
      <c r="K3" s="1">
        <v>19400.0</v>
      </c>
      <c r="L3" s="1">
        <v>15900.0</v>
      </c>
      <c r="M3" s="1">
        <v>28300.0</v>
      </c>
      <c r="N3" s="1">
        <v>21300.0</v>
      </c>
      <c r="O3" s="1">
        <v>27800.0</v>
      </c>
      <c r="P3" s="1">
        <v>34600.0</v>
      </c>
      <c r="Q3" s="1">
        <v>28800.0</v>
      </c>
      <c r="R3" s="1">
        <v>19400.0</v>
      </c>
      <c r="S3" s="1">
        <v>44800.0</v>
      </c>
      <c r="T3" s="1">
        <v>26800.0</v>
      </c>
      <c r="U3" s="1">
        <v>32200.0</v>
      </c>
      <c r="V3" s="1">
        <v>52700.0</v>
      </c>
      <c r="W3" s="1">
        <v>33000.0</v>
      </c>
      <c r="X3" s="1">
        <v>18800.0</v>
      </c>
      <c r="Y3" s="1">
        <v>26100.0</v>
      </c>
      <c r="Z3" s="1">
        <v>31400.0</v>
      </c>
      <c r="AA3" s="1">
        <v>15400.0</v>
      </c>
      <c r="AB3" s="3">
        <f t="shared" si="3"/>
        <v>23804.16667</v>
      </c>
      <c r="AC3" s="4">
        <f t="shared" si="4"/>
        <v>10816.23093</v>
      </c>
      <c r="AD3" s="4">
        <f t="shared" ref="AD3:BA3" si="5">(D3-$AB3)/$AC3</f>
        <v>-1.303981652</v>
      </c>
      <c r="AE3" s="4">
        <f t="shared" si="5"/>
        <v>-0.7122783083</v>
      </c>
      <c r="AF3" s="4">
        <f t="shared" si="5"/>
        <v>-1.322472381</v>
      </c>
      <c r="AG3" s="4">
        <f t="shared" si="5"/>
        <v>-0.5643524725</v>
      </c>
      <c r="AH3" s="4">
        <f t="shared" si="5"/>
        <v>-0.6937875789</v>
      </c>
      <c r="AI3" s="4">
        <f t="shared" si="5"/>
        <v>-1.119074357</v>
      </c>
      <c r="AJ3" s="4">
        <f t="shared" si="5"/>
        <v>-0.9434124268</v>
      </c>
      <c r="AK3" s="4">
        <f t="shared" si="5"/>
        <v>-0.407181272</v>
      </c>
      <c r="AL3" s="4">
        <f t="shared" si="5"/>
        <v>-0.7307690378</v>
      </c>
      <c r="AM3" s="4">
        <f t="shared" si="5"/>
        <v>0.4156561897</v>
      </c>
      <c r="AN3" s="4">
        <f t="shared" si="5"/>
        <v>-0.231519342</v>
      </c>
      <c r="AO3" s="4">
        <f t="shared" si="5"/>
        <v>0.369429366</v>
      </c>
      <c r="AP3" s="4">
        <f t="shared" si="5"/>
        <v>0.9981141681</v>
      </c>
      <c r="AQ3" s="4">
        <f t="shared" si="5"/>
        <v>0.4618830134</v>
      </c>
      <c r="AR3" s="4">
        <f t="shared" si="5"/>
        <v>-0.407181272</v>
      </c>
      <c r="AS3" s="4">
        <f t="shared" si="5"/>
        <v>1.941141371</v>
      </c>
      <c r="AT3" s="4">
        <f t="shared" si="5"/>
        <v>0.2769757186</v>
      </c>
      <c r="AU3" s="4">
        <f t="shared" si="5"/>
        <v>0.7762254144</v>
      </c>
      <c r="AV3" s="4">
        <f t="shared" si="5"/>
        <v>2.671525186</v>
      </c>
      <c r="AW3" s="4">
        <f t="shared" si="5"/>
        <v>0.8501883323</v>
      </c>
      <c r="AX3" s="4">
        <f t="shared" si="5"/>
        <v>-0.4626534604</v>
      </c>
      <c r="AY3" s="4">
        <f t="shared" si="5"/>
        <v>0.2122581654</v>
      </c>
      <c r="AZ3" s="4">
        <f t="shared" si="5"/>
        <v>0.7022624965</v>
      </c>
      <c r="BA3" s="4">
        <f t="shared" si="5"/>
        <v>-0.7769958615</v>
      </c>
      <c r="BB3" s="4">
        <f t="shared" ref="BB3:BY3" si="6">IF(AD3&gt;=1,1,0)
</f>
        <v>0</v>
      </c>
      <c r="BC3" s="4">
        <f t="shared" si="6"/>
        <v>0</v>
      </c>
      <c r="BD3" s="4">
        <f t="shared" si="6"/>
        <v>0</v>
      </c>
      <c r="BE3" s="4">
        <f t="shared" si="6"/>
        <v>0</v>
      </c>
      <c r="BF3" s="4">
        <f t="shared" si="6"/>
        <v>0</v>
      </c>
      <c r="BG3" s="4">
        <f t="shared" si="6"/>
        <v>0</v>
      </c>
      <c r="BH3" s="4">
        <f t="shared" si="6"/>
        <v>0</v>
      </c>
      <c r="BI3" s="4">
        <f t="shared" si="6"/>
        <v>0</v>
      </c>
      <c r="BJ3" s="4">
        <f t="shared" si="6"/>
        <v>0</v>
      </c>
      <c r="BK3" s="4">
        <f t="shared" si="6"/>
        <v>0</v>
      </c>
      <c r="BL3" s="4">
        <f t="shared" si="6"/>
        <v>0</v>
      </c>
      <c r="BM3" s="4">
        <f t="shared" si="6"/>
        <v>0</v>
      </c>
      <c r="BN3" s="4">
        <f t="shared" si="6"/>
        <v>0</v>
      </c>
      <c r="BO3" s="4">
        <f t="shared" si="6"/>
        <v>0</v>
      </c>
      <c r="BP3" s="4">
        <f t="shared" si="6"/>
        <v>0</v>
      </c>
      <c r="BQ3" s="4">
        <f t="shared" si="6"/>
        <v>1</v>
      </c>
      <c r="BR3" s="4">
        <f t="shared" si="6"/>
        <v>0</v>
      </c>
      <c r="BS3" s="4">
        <f t="shared" si="6"/>
        <v>0</v>
      </c>
      <c r="BT3" s="4">
        <f t="shared" si="6"/>
        <v>1</v>
      </c>
      <c r="BU3" s="4">
        <f t="shared" si="6"/>
        <v>0</v>
      </c>
      <c r="BV3" s="4">
        <f t="shared" si="6"/>
        <v>0</v>
      </c>
      <c r="BW3" s="4">
        <f t="shared" si="6"/>
        <v>0</v>
      </c>
      <c r="BX3" s="4">
        <f t="shared" si="6"/>
        <v>0</v>
      </c>
      <c r="BY3" s="4">
        <f t="shared" si="6"/>
        <v>0</v>
      </c>
    </row>
    <row r="4">
      <c r="A4" s="1" t="s">
        <v>58</v>
      </c>
      <c r="B4" s="1" t="s">
        <v>59</v>
      </c>
      <c r="C4" s="1" t="s">
        <v>54</v>
      </c>
      <c r="D4" s="1">
        <v>64000.0</v>
      </c>
      <c r="E4" s="1">
        <v>100600.0</v>
      </c>
      <c r="F4" s="1">
        <v>68300.0</v>
      </c>
      <c r="G4" s="1">
        <v>74100.0</v>
      </c>
      <c r="H4" s="1">
        <v>86700.0</v>
      </c>
      <c r="I4" s="1">
        <v>70900.0</v>
      </c>
      <c r="J4" s="1">
        <v>74600.0</v>
      </c>
      <c r="K4" s="1">
        <v>89400.0</v>
      </c>
      <c r="L4" s="1">
        <v>69300.0</v>
      </c>
      <c r="M4" s="1">
        <v>78700.0</v>
      </c>
      <c r="N4" s="1">
        <v>73200.0</v>
      </c>
      <c r="O4" s="1">
        <v>99400.0</v>
      </c>
      <c r="P4" s="1">
        <v>130400.0</v>
      </c>
      <c r="Q4" s="1">
        <v>112900.0</v>
      </c>
      <c r="R4" s="1">
        <v>76300.0</v>
      </c>
      <c r="S4" s="1">
        <v>158000.0</v>
      </c>
      <c r="T4" s="1">
        <v>80700.0</v>
      </c>
      <c r="U4" s="1">
        <v>131400.0</v>
      </c>
      <c r="V4" s="1">
        <v>108100.0</v>
      </c>
      <c r="W4" s="1">
        <v>77700.0</v>
      </c>
      <c r="X4" s="1">
        <v>56800.0</v>
      </c>
      <c r="Y4" s="1">
        <v>69600.0</v>
      </c>
      <c r="Z4" s="1">
        <v>57900.0</v>
      </c>
      <c r="AA4" s="1">
        <v>60600.0</v>
      </c>
      <c r="AB4" s="3">
        <f t="shared" si="3"/>
        <v>86233.33333</v>
      </c>
      <c r="AC4" s="4">
        <f t="shared" si="4"/>
        <v>25852.70428</v>
      </c>
      <c r="AD4" s="4">
        <f t="shared" ref="AD4:BA4" si="7">(D4-$AB4)/$AC4</f>
        <v>-0.8600002958</v>
      </c>
      <c r="AE4" s="4">
        <f t="shared" si="7"/>
        <v>0.5557123351</v>
      </c>
      <c r="AF4" s="4">
        <f t="shared" si="7"/>
        <v>-0.693673402</v>
      </c>
      <c r="AG4" s="4">
        <f t="shared" si="7"/>
        <v>-0.4693254988</v>
      </c>
      <c r="AH4" s="4">
        <f t="shared" si="7"/>
        <v>0.01805098072</v>
      </c>
      <c r="AI4" s="4">
        <f t="shared" si="7"/>
        <v>-0.5931036523</v>
      </c>
      <c r="AJ4" s="4">
        <f t="shared" si="7"/>
        <v>-0.4499851623</v>
      </c>
      <c r="AK4" s="4">
        <f t="shared" si="7"/>
        <v>0.1224887978</v>
      </c>
      <c r="AL4" s="4">
        <f t="shared" si="7"/>
        <v>-0.6549927291</v>
      </c>
      <c r="AM4" s="4">
        <f t="shared" si="7"/>
        <v>-0.2913944031</v>
      </c>
      <c r="AN4" s="4">
        <f t="shared" si="7"/>
        <v>-0.5041381045</v>
      </c>
      <c r="AO4" s="4">
        <f t="shared" si="7"/>
        <v>0.5092955275</v>
      </c>
      <c r="AP4" s="4">
        <f t="shared" si="7"/>
        <v>1.70839639</v>
      </c>
      <c r="AQ4" s="4">
        <f t="shared" si="7"/>
        <v>1.031484613</v>
      </c>
      <c r="AR4" s="4">
        <f t="shared" si="7"/>
        <v>-0.3842280182</v>
      </c>
      <c r="AS4" s="4">
        <f t="shared" si="7"/>
        <v>2.775982964</v>
      </c>
      <c r="AT4" s="4">
        <f t="shared" si="7"/>
        <v>-0.2140330571</v>
      </c>
      <c r="AU4" s="4">
        <f t="shared" si="7"/>
        <v>1.747077063</v>
      </c>
      <c r="AV4" s="4">
        <f t="shared" si="7"/>
        <v>0.8458173824</v>
      </c>
      <c r="AW4" s="4">
        <f t="shared" si="7"/>
        <v>-0.3300750761</v>
      </c>
      <c r="AX4" s="4">
        <f t="shared" si="7"/>
        <v>-1.138501141</v>
      </c>
      <c r="AY4" s="4">
        <f t="shared" si="7"/>
        <v>-0.6433885272</v>
      </c>
      <c r="AZ4" s="4">
        <f t="shared" si="7"/>
        <v>-1.095952401</v>
      </c>
      <c r="BA4" s="4">
        <f t="shared" si="7"/>
        <v>-0.991514584</v>
      </c>
      <c r="BB4" s="4">
        <f t="shared" ref="BB4:BY4" si="8">IF(AD4&gt;=1,1,0)
</f>
        <v>0</v>
      </c>
      <c r="BC4" s="4">
        <f t="shared" si="8"/>
        <v>0</v>
      </c>
      <c r="BD4" s="4">
        <f t="shared" si="8"/>
        <v>0</v>
      </c>
      <c r="BE4" s="4">
        <f t="shared" si="8"/>
        <v>0</v>
      </c>
      <c r="BF4" s="4">
        <f t="shared" si="8"/>
        <v>0</v>
      </c>
      <c r="BG4" s="4">
        <f t="shared" si="8"/>
        <v>0</v>
      </c>
      <c r="BH4" s="4">
        <f t="shared" si="8"/>
        <v>0</v>
      </c>
      <c r="BI4" s="4">
        <f t="shared" si="8"/>
        <v>0</v>
      </c>
      <c r="BJ4" s="4">
        <f t="shared" si="8"/>
        <v>0</v>
      </c>
      <c r="BK4" s="4">
        <f t="shared" si="8"/>
        <v>0</v>
      </c>
      <c r="BL4" s="4">
        <f t="shared" si="8"/>
        <v>0</v>
      </c>
      <c r="BM4" s="4">
        <f t="shared" si="8"/>
        <v>0</v>
      </c>
      <c r="BN4" s="4">
        <f t="shared" si="8"/>
        <v>1</v>
      </c>
      <c r="BO4" s="4">
        <f t="shared" si="8"/>
        <v>1</v>
      </c>
      <c r="BP4" s="4">
        <f t="shared" si="8"/>
        <v>0</v>
      </c>
      <c r="BQ4" s="4">
        <f t="shared" si="8"/>
        <v>1</v>
      </c>
      <c r="BR4" s="4">
        <f t="shared" si="8"/>
        <v>0</v>
      </c>
      <c r="BS4" s="4">
        <f t="shared" si="8"/>
        <v>1</v>
      </c>
      <c r="BT4" s="4">
        <f t="shared" si="8"/>
        <v>0</v>
      </c>
      <c r="BU4" s="4">
        <f t="shared" si="8"/>
        <v>0</v>
      </c>
      <c r="BV4" s="4">
        <f t="shared" si="8"/>
        <v>0</v>
      </c>
      <c r="BW4" s="4">
        <f t="shared" si="8"/>
        <v>0</v>
      </c>
      <c r="BX4" s="4">
        <f t="shared" si="8"/>
        <v>0</v>
      </c>
      <c r="BY4" s="4">
        <f t="shared" si="8"/>
        <v>0</v>
      </c>
    </row>
    <row r="5">
      <c r="A5" s="1" t="s">
        <v>60</v>
      </c>
      <c r="B5" s="1" t="s">
        <v>59</v>
      </c>
      <c r="C5" s="1" t="s">
        <v>54</v>
      </c>
      <c r="D5" s="1">
        <v>464100.0</v>
      </c>
      <c r="E5" s="1">
        <v>738600.0</v>
      </c>
      <c r="F5" s="1">
        <v>573200.0</v>
      </c>
      <c r="G5" s="1">
        <v>1282900.0</v>
      </c>
      <c r="H5" s="1">
        <v>1756400.0</v>
      </c>
      <c r="I5" s="1">
        <v>118100.0</v>
      </c>
      <c r="J5" s="1">
        <v>94800.0</v>
      </c>
      <c r="K5" s="1">
        <v>98900.0</v>
      </c>
      <c r="L5" s="1">
        <v>94600.0</v>
      </c>
      <c r="M5" s="1">
        <v>145400.0</v>
      </c>
      <c r="N5" s="1">
        <v>130400.0</v>
      </c>
      <c r="O5" s="1">
        <v>122800.0</v>
      </c>
      <c r="P5" s="1">
        <v>147900.0</v>
      </c>
      <c r="Q5" s="1">
        <v>236400.0</v>
      </c>
      <c r="R5" s="1">
        <v>116200.0</v>
      </c>
      <c r="S5" s="1">
        <v>184900.0</v>
      </c>
      <c r="T5" s="1">
        <v>110900.0</v>
      </c>
      <c r="U5" s="1">
        <v>208000.0</v>
      </c>
      <c r="V5" s="1">
        <v>308800.0</v>
      </c>
      <c r="W5" s="1">
        <v>90200.0</v>
      </c>
      <c r="X5" s="1">
        <v>37500.0</v>
      </c>
      <c r="Y5" s="1">
        <v>54400.0</v>
      </c>
      <c r="Z5" s="1">
        <v>34900.0</v>
      </c>
      <c r="AA5" s="1">
        <v>31500.0</v>
      </c>
      <c r="AB5" s="3">
        <f t="shared" si="3"/>
        <v>299241.6667</v>
      </c>
      <c r="AC5" s="4">
        <f t="shared" si="4"/>
        <v>419996.3115</v>
      </c>
      <c r="AD5" s="4">
        <f t="shared" ref="AD5:BA5" si="9">(D5-$AB5)/$AC5</f>
        <v>0.3925232885</v>
      </c>
      <c r="AE5" s="4">
        <f t="shared" si="9"/>
        <v>1.046100457</v>
      </c>
      <c r="AF5" s="4">
        <f t="shared" si="9"/>
        <v>0.6522874745</v>
      </c>
      <c r="AG5" s="4">
        <f t="shared" si="9"/>
        <v>2.342064219</v>
      </c>
      <c r="AH5" s="4">
        <f t="shared" si="9"/>
        <v>3.469455072</v>
      </c>
      <c r="AI5" s="4">
        <f t="shared" si="9"/>
        <v>-0.4312934702</v>
      </c>
      <c r="AJ5" s="4">
        <f t="shared" si="9"/>
        <v>-0.4867701479</v>
      </c>
      <c r="AK5" s="4">
        <f t="shared" si="9"/>
        <v>-0.4770081574</v>
      </c>
      <c r="AL5" s="4">
        <f t="shared" si="9"/>
        <v>-0.4872463426</v>
      </c>
      <c r="AM5" s="4">
        <f t="shared" si="9"/>
        <v>-0.3662928994</v>
      </c>
      <c r="AN5" s="4">
        <f t="shared" si="9"/>
        <v>-0.4020074987</v>
      </c>
      <c r="AO5" s="4">
        <f t="shared" si="9"/>
        <v>-0.4201028958</v>
      </c>
      <c r="AP5" s="4">
        <f t="shared" si="9"/>
        <v>-0.3603404662</v>
      </c>
      <c r="AQ5" s="4">
        <f t="shared" si="9"/>
        <v>-0.1496243299</v>
      </c>
      <c r="AR5" s="4">
        <f t="shared" si="9"/>
        <v>-0.4358173195</v>
      </c>
      <c r="AS5" s="4">
        <f t="shared" si="9"/>
        <v>-0.2722444544</v>
      </c>
      <c r="AT5" s="4">
        <f t="shared" si="9"/>
        <v>-0.4484364779</v>
      </c>
      <c r="AU5" s="4">
        <f t="shared" si="9"/>
        <v>-0.2172439714</v>
      </c>
      <c r="AV5" s="4">
        <f t="shared" si="9"/>
        <v>0.02275813637</v>
      </c>
      <c r="AW5" s="4">
        <f t="shared" si="9"/>
        <v>-0.497722625</v>
      </c>
      <c r="AX5" s="4">
        <f t="shared" si="9"/>
        <v>-0.6231999175</v>
      </c>
      <c r="AY5" s="4">
        <f t="shared" si="9"/>
        <v>-0.5829614689</v>
      </c>
      <c r="AZ5" s="4">
        <f t="shared" si="9"/>
        <v>-0.629390448</v>
      </c>
      <c r="BA5" s="4">
        <f t="shared" si="9"/>
        <v>-0.6374857572</v>
      </c>
      <c r="BB5" s="4">
        <f t="shared" ref="BB5:BY5" si="10">IF(AD5&gt;=1,1,0)
</f>
        <v>0</v>
      </c>
      <c r="BC5" s="4">
        <f t="shared" si="10"/>
        <v>1</v>
      </c>
      <c r="BD5" s="4">
        <f t="shared" si="10"/>
        <v>0</v>
      </c>
      <c r="BE5" s="4">
        <f t="shared" si="10"/>
        <v>1</v>
      </c>
      <c r="BF5" s="4">
        <f t="shared" si="10"/>
        <v>1</v>
      </c>
      <c r="BG5" s="4">
        <f t="shared" si="10"/>
        <v>0</v>
      </c>
      <c r="BH5" s="4">
        <f t="shared" si="10"/>
        <v>0</v>
      </c>
      <c r="BI5" s="4">
        <f t="shared" si="10"/>
        <v>0</v>
      </c>
      <c r="BJ5" s="4">
        <f t="shared" si="10"/>
        <v>0</v>
      </c>
      <c r="BK5" s="4">
        <f t="shared" si="10"/>
        <v>0</v>
      </c>
      <c r="BL5" s="4">
        <f t="shared" si="10"/>
        <v>0</v>
      </c>
      <c r="BM5" s="4">
        <f t="shared" si="10"/>
        <v>0</v>
      </c>
      <c r="BN5" s="4">
        <f t="shared" si="10"/>
        <v>0</v>
      </c>
      <c r="BO5" s="4">
        <f t="shared" si="10"/>
        <v>0</v>
      </c>
      <c r="BP5" s="4">
        <f t="shared" si="10"/>
        <v>0</v>
      </c>
      <c r="BQ5" s="4">
        <f t="shared" si="10"/>
        <v>0</v>
      </c>
      <c r="BR5" s="4">
        <f t="shared" si="10"/>
        <v>0</v>
      </c>
      <c r="BS5" s="4">
        <f t="shared" si="10"/>
        <v>0</v>
      </c>
      <c r="BT5" s="4">
        <f t="shared" si="10"/>
        <v>0</v>
      </c>
      <c r="BU5" s="4">
        <f t="shared" si="10"/>
        <v>0</v>
      </c>
      <c r="BV5" s="4">
        <f t="shared" si="10"/>
        <v>0</v>
      </c>
      <c r="BW5" s="4">
        <f t="shared" si="10"/>
        <v>0</v>
      </c>
      <c r="BX5" s="4">
        <f t="shared" si="10"/>
        <v>0</v>
      </c>
      <c r="BY5" s="4">
        <f t="shared" si="10"/>
        <v>0</v>
      </c>
    </row>
    <row r="6">
      <c r="A6" s="1" t="s">
        <v>61</v>
      </c>
      <c r="B6" s="1" t="s">
        <v>59</v>
      </c>
      <c r="C6" s="1" t="s">
        <v>54</v>
      </c>
      <c r="D6" s="1">
        <v>17300.0</v>
      </c>
      <c r="E6" s="1">
        <v>19700.0</v>
      </c>
      <c r="F6" s="1">
        <v>29300.0</v>
      </c>
      <c r="G6" s="1">
        <v>12900.0</v>
      </c>
      <c r="H6" s="1">
        <v>16500.0</v>
      </c>
      <c r="I6" s="1">
        <v>13300.0</v>
      </c>
      <c r="J6" s="1">
        <v>13100.0</v>
      </c>
      <c r="K6" s="1">
        <v>13400.0</v>
      </c>
      <c r="L6" s="1">
        <v>14500.0</v>
      </c>
      <c r="M6" s="1">
        <v>26600.0</v>
      </c>
      <c r="N6" s="1">
        <v>19700.0</v>
      </c>
      <c r="O6" s="1">
        <v>17800.0</v>
      </c>
      <c r="P6" s="1">
        <v>29900.0</v>
      </c>
      <c r="Q6" s="1">
        <v>28600.0</v>
      </c>
      <c r="R6" s="1">
        <v>20800.0</v>
      </c>
      <c r="S6" s="1">
        <v>35300.0</v>
      </c>
      <c r="T6" s="1">
        <v>10300.0</v>
      </c>
      <c r="U6" s="1">
        <v>19000.0</v>
      </c>
      <c r="V6" s="1">
        <v>43300.0</v>
      </c>
      <c r="W6" s="1">
        <v>7100.0</v>
      </c>
      <c r="X6" s="1">
        <v>2100.0</v>
      </c>
      <c r="Y6" s="1">
        <v>4400.0</v>
      </c>
      <c r="Z6" s="1">
        <v>2400.0</v>
      </c>
      <c r="AA6" s="1">
        <v>1300.0</v>
      </c>
      <c r="AB6" s="3">
        <f t="shared" si="3"/>
        <v>17441.66667</v>
      </c>
      <c r="AC6" s="4">
        <f t="shared" si="4"/>
        <v>10731.01627</v>
      </c>
      <c r="AD6" s="4">
        <f t="shared" ref="AD6:BA6" si="11">(D6-$AB6)/$AC6</f>
        <v>-0.01320160767</v>
      </c>
      <c r="AE6" s="4">
        <f t="shared" si="11"/>
        <v>0.2104491576</v>
      </c>
      <c r="AF6" s="4">
        <f t="shared" si="11"/>
        <v>1.105052218</v>
      </c>
      <c r="AG6" s="4">
        <f t="shared" si="11"/>
        <v>-0.4232280106</v>
      </c>
      <c r="AH6" s="4">
        <f t="shared" si="11"/>
        <v>-0.08775186274</v>
      </c>
      <c r="AI6" s="4">
        <f t="shared" si="11"/>
        <v>-0.385952883</v>
      </c>
      <c r="AJ6" s="4">
        <f t="shared" si="11"/>
        <v>-0.4045904468</v>
      </c>
      <c r="AK6" s="4">
        <f t="shared" si="11"/>
        <v>-0.3766341012</v>
      </c>
      <c r="AL6" s="4">
        <f t="shared" si="11"/>
        <v>-0.2741275004</v>
      </c>
      <c r="AM6" s="4">
        <f t="shared" si="11"/>
        <v>0.8534451076</v>
      </c>
      <c r="AN6" s="4">
        <f t="shared" si="11"/>
        <v>0.2104491576</v>
      </c>
      <c r="AO6" s="4">
        <f t="shared" si="11"/>
        <v>0.03339230175</v>
      </c>
      <c r="AP6" s="4">
        <f t="shared" si="11"/>
        <v>1.16096491</v>
      </c>
      <c r="AQ6" s="4">
        <f t="shared" si="11"/>
        <v>1.039820745</v>
      </c>
      <c r="AR6" s="4">
        <f t="shared" si="11"/>
        <v>0.3129557583</v>
      </c>
      <c r="AS6" s="4">
        <f t="shared" si="11"/>
        <v>1.664179132</v>
      </c>
      <c r="AT6" s="4">
        <f t="shared" si="11"/>
        <v>-0.6655163396</v>
      </c>
      <c r="AU6" s="4">
        <f t="shared" si="11"/>
        <v>0.1452176844</v>
      </c>
      <c r="AV6" s="4">
        <f t="shared" si="11"/>
        <v>2.409681682</v>
      </c>
      <c r="AW6" s="4">
        <f t="shared" si="11"/>
        <v>-0.9637173599</v>
      </c>
      <c r="AX6" s="4">
        <f t="shared" si="11"/>
        <v>-1.429656454</v>
      </c>
      <c r="AY6" s="4">
        <f t="shared" si="11"/>
        <v>-1.215324471</v>
      </c>
      <c r="AZ6" s="4">
        <f t="shared" si="11"/>
        <v>-1.401700108</v>
      </c>
      <c r="BA6" s="4">
        <f t="shared" si="11"/>
        <v>-1.504206709</v>
      </c>
      <c r="BB6" s="4">
        <f t="shared" ref="BB6:BY6" si="12">IF(AD6&gt;=1,1,0)
</f>
        <v>0</v>
      </c>
      <c r="BC6" s="4">
        <f t="shared" si="12"/>
        <v>0</v>
      </c>
      <c r="BD6" s="4">
        <f t="shared" si="12"/>
        <v>1</v>
      </c>
      <c r="BE6" s="4">
        <f t="shared" si="12"/>
        <v>0</v>
      </c>
      <c r="BF6" s="4">
        <f t="shared" si="12"/>
        <v>0</v>
      </c>
      <c r="BG6" s="4">
        <f t="shared" si="12"/>
        <v>0</v>
      </c>
      <c r="BH6" s="4">
        <f t="shared" si="12"/>
        <v>0</v>
      </c>
      <c r="BI6" s="4">
        <f t="shared" si="12"/>
        <v>0</v>
      </c>
      <c r="BJ6" s="4">
        <f t="shared" si="12"/>
        <v>0</v>
      </c>
      <c r="BK6" s="4">
        <f t="shared" si="12"/>
        <v>0</v>
      </c>
      <c r="BL6" s="4">
        <f t="shared" si="12"/>
        <v>0</v>
      </c>
      <c r="BM6" s="4">
        <f t="shared" si="12"/>
        <v>0</v>
      </c>
      <c r="BN6" s="4">
        <f t="shared" si="12"/>
        <v>1</v>
      </c>
      <c r="BO6" s="4">
        <f t="shared" si="12"/>
        <v>1</v>
      </c>
      <c r="BP6" s="4">
        <f t="shared" si="12"/>
        <v>0</v>
      </c>
      <c r="BQ6" s="4">
        <f t="shared" si="12"/>
        <v>1</v>
      </c>
      <c r="BR6" s="4">
        <f t="shared" si="12"/>
        <v>0</v>
      </c>
      <c r="BS6" s="4">
        <f t="shared" si="12"/>
        <v>0</v>
      </c>
      <c r="BT6" s="4">
        <f t="shared" si="12"/>
        <v>1</v>
      </c>
      <c r="BU6" s="4">
        <f t="shared" si="12"/>
        <v>0</v>
      </c>
      <c r="BV6" s="4">
        <f t="shared" si="12"/>
        <v>0</v>
      </c>
      <c r="BW6" s="4">
        <f t="shared" si="12"/>
        <v>0</v>
      </c>
      <c r="BX6" s="4">
        <f t="shared" si="12"/>
        <v>0</v>
      </c>
      <c r="BY6" s="4">
        <f t="shared" si="12"/>
        <v>0</v>
      </c>
    </row>
    <row r="7">
      <c r="A7" s="1" t="s">
        <v>62</v>
      </c>
      <c r="B7" s="1" t="s">
        <v>63</v>
      </c>
      <c r="C7" s="1" t="s">
        <v>64</v>
      </c>
      <c r="D7" s="1">
        <v>2700.0</v>
      </c>
      <c r="E7" s="1">
        <v>4100.0</v>
      </c>
      <c r="F7" s="1">
        <v>2300.0</v>
      </c>
      <c r="G7" s="1">
        <v>2300.0</v>
      </c>
      <c r="H7" s="1">
        <v>3200.0</v>
      </c>
      <c r="I7" s="1">
        <v>3700.0</v>
      </c>
      <c r="J7" s="1">
        <v>5000.0</v>
      </c>
      <c r="K7" s="1">
        <v>8100.0</v>
      </c>
      <c r="L7" s="1">
        <v>5800.0</v>
      </c>
      <c r="M7" s="1">
        <v>4800.0</v>
      </c>
      <c r="N7" s="1">
        <v>3300.0</v>
      </c>
      <c r="O7" s="1">
        <v>4300.0</v>
      </c>
      <c r="P7" s="1">
        <v>5300.0</v>
      </c>
      <c r="Q7" s="1">
        <v>5100.0</v>
      </c>
      <c r="R7" s="1">
        <v>4800.0</v>
      </c>
      <c r="S7" s="1">
        <v>6800.0</v>
      </c>
      <c r="T7" s="1">
        <v>5800.0</v>
      </c>
      <c r="U7" s="1">
        <v>6900.0</v>
      </c>
      <c r="V7" s="1">
        <v>12400.0</v>
      </c>
      <c r="W7" s="1">
        <v>8300.0</v>
      </c>
      <c r="X7" s="1">
        <v>6400.0</v>
      </c>
      <c r="Y7" s="1">
        <v>7000.0</v>
      </c>
      <c r="Z7" s="1">
        <v>5200.0</v>
      </c>
      <c r="AA7" s="1">
        <v>8400.0</v>
      </c>
      <c r="AB7" s="3">
        <f t="shared" si="3"/>
        <v>5500</v>
      </c>
      <c r="AC7" s="4">
        <f t="shared" si="4"/>
        <v>2323.041485</v>
      </c>
      <c r="AD7" s="4">
        <f t="shared" ref="AD7:BA7" si="13">(D7-$AB7)/$AC7</f>
        <v>-1.2053164</v>
      </c>
      <c r="AE7" s="4">
        <f t="shared" si="13"/>
        <v>-0.6026582002</v>
      </c>
      <c r="AF7" s="4">
        <f t="shared" si="13"/>
        <v>-1.377504458</v>
      </c>
      <c r="AG7" s="4">
        <f t="shared" si="13"/>
        <v>-1.377504458</v>
      </c>
      <c r="AH7" s="4">
        <f t="shared" si="13"/>
        <v>-0.9900813288</v>
      </c>
      <c r="AI7" s="4">
        <f t="shared" si="13"/>
        <v>-0.7748462573</v>
      </c>
      <c r="AJ7" s="4">
        <f t="shared" si="13"/>
        <v>-0.2152350715</v>
      </c>
      <c r="AK7" s="4">
        <f t="shared" si="13"/>
        <v>1.119222372</v>
      </c>
      <c r="AL7" s="4">
        <f t="shared" si="13"/>
        <v>0.1291410429</v>
      </c>
      <c r="AM7" s="4">
        <f t="shared" si="13"/>
        <v>-0.3013291001</v>
      </c>
      <c r="AN7" s="4">
        <f t="shared" si="13"/>
        <v>-0.9470343145</v>
      </c>
      <c r="AO7" s="4">
        <f t="shared" si="13"/>
        <v>-0.5165641716</v>
      </c>
      <c r="AP7" s="4">
        <f t="shared" si="13"/>
        <v>-0.08609402859</v>
      </c>
      <c r="AQ7" s="4">
        <f t="shared" si="13"/>
        <v>-0.1721880572</v>
      </c>
      <c r="AR7" s="4">
        <f t="shared" si="13"/>
        <v>-0.3013291001</v>
      </c>
      <c r="AS7" s="4">
        <f t="shared" si="13"/>
        <v>0.5596111859</v>
      </c>
      <c r="AT7" s="4">
        <f t="shared" si="13"/>
        <v>0.1291410429</v>
      </c>
      <c r="AU7" s="4">
        <f t="shared" si="13"/>
        <v>0.6026582002</v>
      </c>
      <c r="AV7" s="4">
        <f t="shared" si="13"/>
        <v>2.970243987</v>
      </c>
      <c r="AW7" s="4">
        <f t="shared" si="13"/>
        <v>1.2053164</v>
      </c>
      <c r="AX7" s="4">
        <f t="shared" si="13"/>
        <v>0.3874231287</v>
      </c>
      <c r="AY7" s="4">
        <f t="shared" si="13"/>
        <v>0.6457052145</v>
      </c>
      <c r="AZ7" s="4">
        <f t="shared" si="13"/>
        <v>-0.1291410429</v>
      </c>
      <c r="BA7" s="4">
        <f t="shared" si="13"/>
        <v>1.248363415</v>
      </c>
      <c r="BB7" s="4">
        <f t="shared" ref="BB7:BY7" si="14">IF(AD7&gt;=1,1,0)
</f>
        <v>0</v>
      </c>
      <c r="BC7" s="4">
        <f t="shared" si="14"/>
        <v>0</v>
      </c>
      <c r="BD7" s="4">
        <f t="shared" si="14"/>
        <v>0</v>
      </c>
      <c r="BE7" s="4">
        <f t="shared" si="14"/>
        <v>0</v>
      </c>
      <c r="BF7" s="4">
        <f t="shared" si="14"/>
        <v>0</v>
      </c>
      <c r="BG7" s="4">
        <f t="shared" si="14"/>
        <v>0</v>
      </c>
      <c r="BH7" s="4">
        <f t="shared" si="14"/>
        <v>0</v>
      </c>
      <c r="BI7" s="4">
        <f t="shared" si="14"/>
        <v>1</v>
      </c>
      <c r="BJ7" s="4">
        <f t="shared" si="14"/>
        <v>0</v>
      </c>
      <c r="BK7" s="4">
        <f t="shared" si="14"/>
        <v>0</v>
      </c>
      <c r="BL7" s="4">
        <f t="shared" si="14"/>
        <v>0</v>
      </c>
      <c r="BM7" s="4">
        <f t="shared" si="14"/>
        <v>0</v>
      </c>
      <c r="BN7" s="4">
        <f t="shared" si="14"/>
        <v>0</v>
      </c>
      <c r="BO7" s="4">
        <f t="shared" si="14"/>
        <v>0</v>
      </c>
      <c r="BP7" s="4">
        <f t="shared" si="14"/>
        <v>0</v>
      </c>
      <c r="BQ7" s="4">
        <f t="shared" si="14"/>
        <v>0</v>
      </c>
      <c r="BR7" s="4">
        <f t="shared" si="14"/>
        <v>0</v>
      </c>
      <c r="BS7" s="4">
        <f t="shared" si="14"/>
        <v>0</v>
      </c>
      <c r="BT7" s="4">
        <f t="shared" si="14"/>
        <v>1</v>
      </c>
      <c r="BU7" s="4">
        <f t="shared" si="14"/>
        <v>1</v>
      </c>
      <c r="BV7" s="4">
        <f t="shared" si="14"/>
        <v>0</v>
      </c>
      <c r="BW7" s="4">
        <f t="shared" si="14"/>
        <v>0</v>
      </c>
      <c r="BX7" s="4">
        <f t="shared" si="14"/>
        <v>0</v>
      </c>
      <c r="BY7" s="4">
        <f t="shared" si="14"/>
        <v>1</v>
      </c>
    </row>
    <row r="8">
      <c r="A8" s="1" t="s">
        <v>65</v>
      </c>
      <c r="B8" s="1" t="s">
        <v>59</v>
      </c>
      <c r="C8" s="1" t="s">
        <v>66</v>
      </c>
      <c r="D8" s="1">
        <v>32500.0</v>
      </c>
      <c r="E8" s="1">
        <v>51300.0</v>
      </c>
      <c r="F8" s="1">
        <v>41700.0</v>
      </c>
      <c r="G8" s="1">
        <v>42400.0</v>
      </c>
      <c r="H8" s="1">
        <v>55900.0</v>
      </c>
      <c r="I8" s="1">
        <v>47100.0</v>
      </c>
      <c r="J8" s="1">
        <v>43800.0</v>
      </c>
      <c r="K8" s="1">
        <v>60400.0</v>
      </c>
      <c r="L8" s="1">
        <v>43000.0</v>
      </c>
      <c r="M8" s="1">
        <v>51600.0</v>
      </c>
      <c r="N8" s="1">
        <v>43100.0</v>
      </c>
      <c r="O8" s="1">
        <v>48000.0</v>
      </c>
      <c r="P8" s="1">
        <v>87800.0</v>
      </c>
      <c r="Q8" s="1">
        <v>79400.0</v>
      </c>
      <c r="R8" s="1">
        <v>79400.0</v>
      </c>
      <c r="S8" s="1">
        <v>405700.0</v>
      </c>
      <c r="T8" s="1">
        <v>78200.0</v>
      </c>
      <c r="U8" s="1">
        <v>35800.0</v>
      </c>
      <c r="V8" s="1">
        <v>55200.0</v>
      </c>
      <c r="W8" s="1">
        <v>69600.0</v>
      </c>
      <c r="X8" s="1">
        <v>59700.0</v>
      </c>
      <c r="Y8" s="1">
        <v>40800.0</v>
      </c>
      <c r="Z8" s="1">
        <v>27100.0</v>
      </c>
      <c r="AA8" s="1">
        <v>31800.0</v>
      </c>
      <c r="AB8" s="3">
        <f t="shared" si="3"/>
        <v>67137.5</v>
      </c>
      <c r="AC8" s="4">
        <f t="shared" si="4"/>
        <v>73956.93114</v>
      </c>
      <c r="AD8" s="4">
        <f t="shared" ref="AD8:BA8" si="15">(D8-$AB8)/$AC8</f>
        <v>-0.4683469077</v>
      </c>
      <c r="AE8" s="4">
        <f t="shared" si="15"/>
        <v>-0.2141449051</v>
      </c>
      <c r="AF8" s="4">
        <f t="shared" si="15"/>
        <v>-0.343950183</v>
      </c>
      <c r="AG8" s="4">
        <f t="shared" si="15"/>
        <v>-0.3344852148</v>
      </c>
      <c r="AH8" s="4">
        <f t="shared" si="15"/>
        <v>-0.1519465428</v>
      </c>
      <c r="AI8" s="4">
        <f t="shared" si="15"/>
        <v>-0.2709347142</v>
      </c>
      <c r="AJ8" s="4">
        <f t="shared" si="15"/>
        <v>-0.3155552785</v>
      </c>
      <c r="AK8" s="4">
        <f t="shared" si="15"/>
        <v>-0.09110031875</v>
      </c>
      <c r="AL8" s="4">
        <f t="shared" si="15"/>
        <v>-0.326372385</v>
      </c>
      <c r="AM8" s="4">
        <f t="shared" si="15"/>
        <v>-0.2100884902</v>
      </c>
      <c r="AN8" s="4">
        <f t="shared" si="15"/>
        <v>-0.3250202467</v>
      </c>
      <c r="AO8" s="4">
        <f t="shared" si="15"/>
        <v>-0.2587654694</v>
      </c>
      <c r="AP8" s="4">
        <f t="shared" si="15"/>
        <v>0.2793855786</v>
      </c>
      <c r="AQ8" s="4">
        <f t="shared" si="15"/>
        <v>0.1658059605</v>
      </c>
      <c r="AR8" s="4">
        <f t="shared" si="15"/>
        <v>0.1658059605</v>
      </c>
      <c r="AS8" s="4">
        <f t="shared" si="15"/>
        <v>4.577833271</v>
      </c>
      <c r="AT8" s="4">
        <f t="shared" si="15"/>
        <v>0.1495803007</v>
      </c>
      <c r="AU8" s="4">
        <f t="shared" si="15"/>
        <v>-0.4237263434</v>
      </c>
      <c r="AV8" s="4">
        <f t="shared" si="15"/>
        <v>-0.161411511</v>
      </c>
      <c r="AW8" s="4">
        <f t="shared" si="15"/>
        <v>0.03329640592</v>
      </c>
      <c r="AX8" s="4">
        <f t="shared" si="15"/>
        <v>-0.1005652869</v>
      </c>
      <c r="AY8" s="4">
        <f t="shared" si="15"/>
        <v>-0.3561194278</v>
      </c>
      <c r="AZ8" s="4">
        <f t="shared" si="15"/>
        <v>-0.5413623765</v>
      </c>
      <c r="BA8" s="4">
        <f t="shared" si="15"/>
        <v>-0.4778118759</v>
      </c>
      <c r="BB8" s="4">
        <f t="shared" ref="BB8:BY8" si="16">IF(AD8&gt;=1,1,0)
</f>
        <v>0</v>
      </c>
      <c r="BC8" s="4">
        <f t="shared" si="16"/>
        <v>0</v>
      </c>
      <c r="BD8" s="4">
        <f t="shared" si="16"/>
        <v>0</v>
      </c>
      <c r="BE8" s="4">
        <f t="shared" si="16"/>
        <v>0</v>
      </c>
      <c r="BF8" s="4">
        <f t="shared" si="16"/>
        <v>0</v>
      </c>
      <c r="BG8" s="4">
        <f t="shared" si="16"/>
        <v>0</v>
      </c>
      <c r="BH8" s="4">
        <f t="shared" si="16"/>
        <v>0</v>
      </c>
      <c r="BI8" s="4">
        <f t="shared" si="16"/>
        <v>0</v>
      </c>
      <c r="BJ8" s="4">
        <f t="shared" si="16"/>
        <v>0</v>
      </c>
      <c r="BK8" s="4">
        <f t="shared" si="16"/>
        <v>0</v>
      </c>
      <c r="BL8" s="4">
        <f t="shared" si="16"/>
        <v>0</v>
      </c>
      <c r="BM8" s="4">
        <f t="shared" si="16"/>
        <v>0</v>
      </c>
      <c r="BN8" s="4">
        <f t="shared" si="16"/>
        <v>0</v>
      </c>
      <c r="BO8" s="4">
        <f t="shared" si="16"/>
        <v>0</v>
      </c>
      <c r="BP8" s="4">
        <f t="shared" si="16"/>
        <v>0</v>
      </c>
      <c r="BQ8" s="4">
        <f t="shared" si="16"/>
        <v>1</v>
      </c>
      <c r="BR8" s="4">
        <f t="shared" si="16"/>
        <v>0</v>
      </c>
      <c r="BS8" s="4">
        <f t="shared" si="16"/>
        <v>0</v>
      </c>
      <c r="BT8" s="4">
        <f t="shared" si="16"/>
        <v>0</v>
      </c>
      <c r="BU8" s="4">
        <f t="shared" si="16"/>
        <v>0</v>
      </c>
      <c r="BV8" s="4">
        <f t="shared" si="16"/>
        <v>0</v>
      </c>
      <c r="BW8" s="4">
        <f t="shared" si="16"/>
        <v>0</v>
      </c>
      <c r="BX8" s="4">
        <f t="shared" si="16"/>
        <v>0</v>
      </c>
      <c r="BY8" s="4">
        <f t="shared" si="16"/>
        <v>0</v>
      </c>
    </row>
    <row r="9">
      <c r="A9" s="1" t="s">
        <v>67</v>
      </c>
      <c r="B9" s="1" t="s">
        <v>59</v>
      </c>
      <c r="C9" s="1" t="s">
        <v>66</v>
      </c>
      <c r="D9" s="1">
        <v>6600.0</v>
      </c>
      <c r="E9" s="1">
        <v>13100.0</v>
      </c>
      <c r="F9" s="1">
        <v>9500.0</v>
      </c>
      <c r="G9" s="1">
        <v>8900.0</v>
      </c>
      <c r="H9" s="1">
        <v>9900.0</v>
      </c>
      <c r="I9" s="1">
        <v>7800.0</v>
      </c>
      <c r="J9" s="1">
        <v>10200.0</v>
      </c>
      <c r="K9" s="1">
        <v>11200.0</v>
      </c>
      <c r="L9" s="1">
        <v>9800.0</v>
      </c>
      <c r="M9" s="1">
        <v>10100.0</v>
      </c>
      <c r="N9" s="1">
        <v>8400.0</v>
      </c>
      <c r="O9" s="1">
        <v>13000.0</v>
      </c>
      <c r="P9" s="1">
        <v>16800.0</v>
      </c>
      <c r="Q9" s="1">
        <v>13200.0</v>
      </c>
      <c r="R9" s="1">
        <v>12100.0</v>
      </c>
      <c r="S9" s="1">
        <v>53200.0</v>
      </c>
      <c r="T9" s="1">
        <v>15500.0</v>
      </c>
      <c r="U9" s="1">
        <v>14800.0</v>
      </c>
      <c r="V9" s="1">
        <v>11300.0</v>
      </c>
      <c r="W9" s="1">
        <v>4700.0</v>
      </c>
      <c r="X9" s="1">
        <v>28100.0</v>
      </c>
      <c r="Y9" s="1">
        <v>29600.0</v>
      </c>
      <c r="Z9" s="1">
        <v>6800.0</v>
      </c>
      <c r="AA9" s="1">
        <v>5300.0</v>
      </c>
      <c r="AB9" s="3">
        <f t="shared" si="3"/>
        <v>13745.83333</v>
      </c>
      <c r="AC9" s="4">
        <f t="shared" si="4"/>
        <v>10338.02517</v>
      </c>
      <c r="AD9" s="4">
        <f t="shared" ref="AD9:BA9" si="17">(D9-$AB9)/$AC9</f>
        <v>-0.691218411</v>
      </c>
      <c r="AE9" s="4">
        <f t="shared" si="17"/>
        <v>-0.06247163481</v>
      </c>
      <c r="AF9" s="4">
        <f t="shared" si="17"/>
        <v>-0.4107006185</v>
      </c>
      <c r="AG9" s="4">
        <f t="shared" si="17"/>
        <v>-0.4687387825</v>
      </c>
      <c r="AH9" s="4">
        <f t="shared" si="17"/>
        <v>-0.3720085092</v>
      </c>
      <c r="AI9" s="4">
        <f t="shared" si="17"/>
        <v>-0.5751420831</v>
      </c>
      <c r="AJ9" s="4">
        <f t="shared" si="17"/>
        <v>-0.3429894273</v>
      </c>
      <c r="AK9" s="4">
        <f t="shared" si="17"/>
        <v>-0.246259154</v>
      </c>
      <c r="AL9" s="4">
        <f t="shared" si="17"/>
        <v>-0.3816815366</v>
      </c>
      <c r="AM9" s="4">
        <f t="shared" si="17"/>
        <v>-0.3526624546</v>
      </c>
      <c r="AN9" s="4">
        <f t="shared" si="17"/>
        <v>-0.5171039191</v>
      </c>
      <c r="AO9" s="4">
        <f t="shared" si="17"/>
        <v>-0.07214466214</v>
      </c>
      <c r="AP9" s="4">
        <f t="shared" si="17"/>
        <v>0.2954303762</v>
      </c>
      <c r="AQ9" s="4">
        <f t="shared" si="17"/>
        <v>-0.05279860749</v>
      </c>
      <c r="AR9" s="4">
        <f t="shared" si="17"/>
        <v>-0.1592019081</v>
      </c>
      <c r="AS9" s="4">
        <f t="shared" si="17"/>
        <v>3.816412323</v>
      </c>
      <c r="AT9" s="4">
        <f t="shared" si="17"/>
        <v>0.169681021</v>
      </c>
      <c r="AU9" s="4">
        <f t="shared" si="17"/>
        <v>0.1019698297</v>
      </c>
      <c r="AV9" s="4">
        <f t="shared" si="17"/>
        <v>-0.2365861267</v>
      </c>
      <c r="AW9" s="4">
        <f t="shared" si="17"/>
        <v>-0.8750059302</v>
      </c>
      <c r="AX9" s="4">
        <f t="shared" si="17"/>
        <v>1.388482464</v>
      </c>
      <c r="AY9" s="4">
        <f t="shared" si="17"/>
        <v>1.533577874</v>
      </c>
      <c r="AZ9" s="4">
        <f t="shared" si="17"/>
        <v>-0.6718723563</v>
      </c>
      <c r="BA9" s="4">
        <f t="shared" si="17"/>
        <v>-0.8169677662</v>
      </c>
      <c r="BB9" s="4">
        <f t="shared" ref="BB9:BY9" si="18">IF(AD9&gt;=1,1,0)
</f>
        <v>0</v>
      </c>
      <c r="BC9" s="4">
        <f t="shared" si="18"/>
        <v>0</v>
      </c>
      <c r="BD9" s="4">
        <f t="shared" si="18"/>
        <v>0</v>
      </c>
      <c r="BE9" s="4">
        <f t="shared" si="18"/>
        <v>0</v>
      </c>
      <c r="BF9" s="4">
        <f t="shared" si="18"/>
        <v>0</v>
      </c>
      <c r="BG9" s="4">
        <f t="shared" si="18"/>
        <v>0</v>
      </c>
      <c r="BH9" s="4">
        <f t="shared" si="18"/>
        <v>0</v>
      </c>
      <c r="BI9" s="4">
        <f t="shared" si="18"/>
        <v>0</v>
      </c>
      <c r="BJ9" s="4">
        <f t="shared" si="18"/>
        <v>0</v>
      </c>
      <c r="BK9" s="4">
        <f t="shared" si="18"/>
        <v>0</v>
      </c>
      <c r="BL9" s="4">
        <f t="shared" si="18"/>
        <v>0</v>
      </c>
      <c r="BM9" s="4">
        <f t="shared" si="18"/>
        <v>0</v>
      </c>
      <c r="BN9" s="4">
        <f t="shared" si="18"/>
        <v>0</v>
      </c>
      <c r="BO9" s="4">
        <f t="shared" si="18"/>
        <v>0</v>
      </c>
      <c r="BP9" s="4">
        <f t="shared" si="18"/>
        <v>0</v>
      </c>
      <c r="BQ9" s="4">
        <f t="shared" si="18"/>
        <v>1</v>
      </c>
      <c r="BR9" s="4">
        <f t="shared" si="18"/>
        <v>0</v>
      </c>
      <c r="BS9" s="4">
        <f t="shared" si="18"/>
        <v>0</v>
      </c>
      <c r="BT9" s="4">
        <f t="shared" si="18"/>
        <v>0</v>
      </c>
      <c r="BU9" s="4">
        <f t="shared" si="18"/>
        <v>0</v>
      </c>
      <c r="BV9" s="4">
        <f t="shared" si="18"/>
        <v>1</v>
      </c>
      <c r="BW9" s="4">
        <f t="shared" si="18"/>
        <v>1</v>
      </c>
      <c r="BX9" s="4">
        <f t="shared" si="18"/>
        <v>0</v>
      </c>
      <c r="BY9" s="4">
        <f t="shared" si="18"/>
        <v>0</v>
      </c>
    </row>
    <row r="10">
      <c r="A10" s="1" t="s">
        <v>68</v>
      </c>
      <c r="B10" s="1" t="s">
        <v>69</v>
      </c>
      <c r="C10" s="1" t="s">
        <v>70</v>
      </c>
      <c r="D10" s="1">
        <v>1000.0</v>
      </c>
      <c r="E10" s="1">
        <v>2600.0</v>
      </c>
      <c r="F10" s="1">
        <v>1600.0</v>
      </c>
      <c r="G10" s="1">
        <v>2600.0</v>
      </c>
      <c r="H10" s="1">
        <v>3300.0</v>
      </c>
      <c r="I10" s="1">
        <v>3800.0</v>
      </c>
      <c r="J10" s="1">
        <v>2500.0</v>
      </c>
      <c r="K10" s="1">
        <v>5000.0</v>
      </c>
      <c r="L10" s="1">
        <v>2700.0</v>
      </c>
      <c r="M10" s="1">
        <v>5200.0</v>
      </c>
      <c r="N10" s="1">
        <v>2800.0</v>
      </c>
      <c r="O10" s="1">
        <v>2900.0</v>
      </c>
      <c r="P10" s="1">
        <v>2700.0</v>
      </c>
      <c r="Q10" s="1">
        <v>5700.0</v>
      </c>
      <c r="R10" s="1">
        <v>2300.0</v>
      </c>
      <c r="S10" s="1">
        <v>3200.0</v>
      </c>
      <c r="T10" s="1">
        <v>3200.0</v>
      </c>
      <c r="U10" s="1">
        <v>4700.0</v>
      </c>
      <c r="V10" s="1">
        <v>18100.0</v>
      </c>
      <c r="W10" s="1">
        <v>74100.0</v>
      </c>
      <c r="X10" s="1">
        <v>48100.0</v>
      </c>
      <c r="Y10" s="1">
        <v>27000.0</v>
      </c>
      <c r="Z10" s="1">
        <v>11100.0</v>
      </c>
      <c r="AA10" s="1">
        <v>7400.0</v>
      </c>
      <c r="AB10" s="3">
        <f t="shared" si="3"/>
        <v>10150</v>
      </c>
      <c r="AC10" s="4">
        <f t="shared" si="4"/>
        <v>17167.1324</v>
      </c>
      <c r="AD10" s="4">
        <f t="shared" ref="AD10:BA10" si="19">(D10-$AB10)/$AC10</f>
        <v>-0.5329952486</v>
      </c>
      <c r="AE10" s="4">
        <f t="shared" si="19"/>
        <v>-0.4397938936</v>
      </c>
      <c r="AF10" s="4">
        <f t="shared" si="19"/>
        <v>-0.4980447405</v>
      </c>
      <c r="AG10" s="4">
        <f t="shared" si="19"/>
        <v>-0.4397938936</v>
      </c>
      <c r="AH10" s="4">
        <f t="shared" si="19"/>
        <v>-0.3990183008</v>
      </c>
      <c r="AI10" s="4">
        <f t="shared" si="19"/>
        <v>-0.3698928774</v>
      </c>
      <c r="AJ10" s="4">
        <f t="shared" si="19"/>
        <v>-0.4456189783</v>
      </c>
      <c r="AK10" s="4">
        <f t="shared" si="19"/>
        <v>-0.2999918612</v>
      </c>
      <c r="AL10" s="4">
        <f t="shared" si="19"/>
        <v>-0.4339688089</v>
      </c>
      <c r="AM10" s="4">
        <f t="shared" si="19"/>
        <v>-0.2883416919</v>
      </c>
      <c r="AN10" s="4">
        <f t="shared" si="19"/>
        <v>-0.4281437243</v>
      </c>
      <c r="AO10" s="4">
        <f t="shared" si="19"/>
        <v>-0.4223186396</v>
      </c>
      <c r="AP10" s="4">
        <f t="shared" si="19"/>
        <v>-0.4339688089</v>
      </c>
      <c r="AQ10" s="4">
        <f t="shared" si="19"/>
        <v>-0.2592162684</v>
      </c>
      <c r="AR10" s="4">
        <f t="shared" si="19"/>
        <v>-0.4572691477</v>
      </c>
      <c r="AS10" s="4">
        <f t="shared" si="19"/>
        <v>-0.4048433855</v>
      </c>
      <c r="AT10" s="4">
        <f t="shared" si="19"/>
        <v>-0.4048433855</v>
      </c>
      <c r="AU10" s="4">
        <f t="shared" si="19"/>
        <v>-0.3174671153</v>
      </c>
      <c r="AV10" s="4">
        <f t="shared" si="19"/>
        <v>0.4630942324</v>
      </c>
      <c r="AW10" s="4">
        <f t="shared" si="19"/>
        <v>3.725141655</v>
      </c>
      <c r="AX10" s="4">
        <f t="shared" si="19"/>
        <v>2.210619638</v>
      </c>
      <c r="AY10" s="4">
        <f t="shared" si="19"/>
        <v>0.9815267692</v>
      </c>
      <c r="AZ10" s="4">
        <f t="shared" si="19"/>
        <v>0.0553383045</v>
      </c>
      <c r="BA10" s="4">
        <f t="shared" si="19"/>
        <v>-0.1601898288</v>
      </c>
      <c r="BB10" s="4">
        <f t="shared" ref="BB10:BY10" si="20">IF(AD10&gt;=1,1,0)
</f>
        <v>0</v>
      </c>
      <c r="BC10" s="4">
        <f t="shared" si="20"/>
        <v>0</v>
      </c>
      <c r="BD10" s="4">
        <f t="shared" si="20"/>
        <v>0</v>
      </c>
      <c r="BE10" s="4">
        <f t="shared" si="20"/>
        <v>0</v>
      </c>
      <c r="BF10" s="4">
        <f t="shared" si="20"/>
        <v>0</v>
      </c>
      <c r="BG10" s="4">
        <f t="shared" si="20"/>
        <v>0</v>
      </c>
      <c r="BH10" s="4">
        <f t="shared" si="20"/>
        <v>0</v>
      </c>
      <c r="BI10" s="4">
        <f t="shared" si="20"/>
        <v>0</v>
      </c>
      <c r="BJ10" s="4">
        <f t="shared" si="20"/>
        <v>0</v>
      </c>
      <c r="BK10" s="4">
        <f t="shared" si="20"/>
        <v>0</v>
      </c>
      <c r="BL10" s="4">
        <f t="shared" si="20"/>
        <v>0</v>
      </c>
      <c r="BM10" s="4">
        <f t="shared" si="20"/>
        <v>0</v>
      </c>
      <c r="BN10" s="4">
        <f t="shared" si="20"/>
        <v>0</v>
      </c>
      <c r="BO10" s="4">
        <f t="shared" si="20"/>
        <v>0</v>
      </c>
      <c r="BP10" s="4">
        <f t="shared" si="20"/>
        <v>0</v>
      </c>
      <c r="BQ10" s="4">
        <f t="shared" si="20"/>
        <v>0</v>
      </c>
      <c r="BR10" s="4">
        <f t="shared" si="20"/>
        <v>0</v>
      </c>
      <c r="BS10" s="4">
        <f t="shared" si="20"/>
        <v>0</v>
      </c>
      <c r="BT10" s="4">
        <f t="shared" si="20"/>
        <v>0</v>
      </c>
      <c r="BU10" s="4">
        <f t="shared" si="20"/>
        <v>1</v>
      </c>
      <c r="BV10" s="4">
        <f t="shared" si="20"/>
        <v>1</v>
      </c>
      <c r="BW10" s="4">
        <f t="shared" si="20"/>
        <v>0</v>
      </c>
      <c r="BX10" s="4">
        <f t="shared" si="20"/>
        <v>0</v>
      </c>
      <c r="BY10" s="4">
        <f t="shared" si="20"/>
        <v>0</v>
      </c>
    </row>
    <row r="11">
      <c r="A11" s="1" t="s">
        <v>71</v>
      </c>
      <c r="B11" s="1" t="s">
        <v>72</v>
      </c>
      <c r="C11" s="1" t="s">
        <v>73</v>
      </c>
      <c r="D11" s="1">
        <v>84700.0</v>
      </c>
      <c r="E11" s="1">
        <v>68400.0</v>
      </c>
      <c r="F11" s="1">
        <v>50800.0</v>
      </c>
      <c r="G11" s="1">
        <v>43800.0</v>
      </c>
      <c r="H11" s="1">
        <v>57700.0</v>
      </c>
      <c r="I11" s="1">
        <v>39400.0</v>
      </c>
      <c r="J11" s="1">
        <v>38400.0</v>
      </c>
      <c r="K11" s="1">
        <v>50000.0</v>
      </c>
      <c r="L11" s="1">
        <v>41100.0</v>
      </c>
      <c r="M11" s="1">
        <v>47300.0</v>
      </c>
      <c r="N11" s="1">
        <v>32800.0</v>
      </c>
      <c r="O11" s="1">
        <v>31400.0</v>
      </c>
      <c r="P11" s="1">
        <v>71800.0</v>
      </c>
      <c r="Q11" s="1">
        <v>51000.0</v>
      </c>
      <c r="R11" s="1">
        <v>68900.0</v>
      </c>
      <c r="S11" s="1">
        <v>61000.0</v>
      </c>
      <c r="T11" s="1">
        <v>49300.0</v>
      </c>
      <c r="U11" s="1">
        <v>46200.0</v>
      </c>
      <c r="V11" s="1">
        <v>53300.0</v>
      </c>
      <c r="W11" s="1">
        <v>42400.0</v>
      </c>
      <c r="X11" s="1">
        <v>37500.0</v>
      </c>
      <c r="Y11" s="1">
        <v>46600.0</v>
      </c>
      <c r="Z11" s="1">
        <v>38000.0</v>
      </c>
      <c r="AA11" s="1">
        <v>35500.0</v>
      </c>
      <c r="AB11" s="3">
        <f t="shared" si="3"/>
        <v>49470.83333</v>
      </c>
      <c r="AC11" s="4">
        <f t="shared" si="4"/>
        <v>13464.29995</v>
      </c>
      <c r="AD11" s="4">
        <f t="shared" ref="AD11:BA11" si="21">(D11-$AB11)/$AC11</f>
        <v>2.616487065</v>
      </c>
      <c r="AE11" s="4">
        <f t="shared" si="21"/>
        <v>1.405878266</v>
      </c>
      <c r="AF11" s="4">
        <f t="shared" si="21"/>
        <v>0.09871784433</v>
      </c>
      <c r="AG11" s="4">
        <f t="shared" si="21"/>
        <v>-0.4211755051</v>
      </c>
      <c r="AH11" s="4">
        <f t="shared" si="21"/>
        <v>0.6111841459</v>
      </c>
      <c r="AI11" s="4">
        <f t="shared" si="21"/>
        <v>-0.7479656105</v>
      </c>
      <c r="AJ11" s="4">
        <f t="shared" si="21"/>
        <v>-0.822236089</v>
      </c>
      <c r="AK11" s="4">
        <f t="shared" si="21"/>
        <v>0.03930146154</v>
      </c>
      <c r="AL11" s="4">
        <f t="shared" si="21"/>
        <v>-0.6217057971</v>
      </c>
      <c r="AM11" s="4">
        <f t="shared" si="21"/>
        <v>-0.1612288304</v>
      </c>
      <c r="AN11" s="4">
        <f t="shared" si="21"/>
        <v>-1.238150769</v>
      </c>
      <c r="AO11" s="4">
        <f t="shared" si="21"/>
        <v>-1.342129438</v>
      </c>
      <c r="AP11" s="4">
        <f t="shared" si="21"/>
        <v>1.658397893</v>
      </c>
      <c r="AQ11" s="4">
        <f t="shared" si="21"/>
        <v>0.11357194</v>
      </c>
      <c r="AR11" s="4">
        <f t="shared" si="21"/>
        <v>1.443013505</v>
      </c>
      <c r="AS11" s="4">
        <f t="shared" si="21"/>
        <v>0.856276725</v>
      </c>
      <c r="AT11" s="4">
        <f t="shared" si="21"/>
        <v>-0.01268787341</v>
      </c>
      <c r="AU11" s="4">
        <f t="shared" si="21"/>
        <v>-0.2429263567</v>
      </c>
      <c r="AV11" s="4">
        <f t="shared" si="21"/>
        <v>0.2843940406</v>
      </c>
      <c r="AW11" s="4">
        <f t="shared" si="21"/>
        <v>-0.525154175</v>
      </c>
      <c r="AX11" s="4">
        <f t="shared" si="21"/>
        <v>-0.8890795196</v>
      </c>
      <c r="AY11" s="4">
        <f t="shared" si="21"/>
        <v>-0.2132181653</v>
      </c>
      <c r="AZ11" s="4">
        <f t="shared" si="21"/>
        <v>-0.8519442804</v>
      </c>
      <c r="BA11" s="4">
        <f t="shared" si="21"/>
        <v>-1.037620477</v>
      </c>
      <c r="BB11" s="4">
        <f t="shared" ref="BB11:BY11" si="22">IF(AD11&gt;=1,1,0)
</f>
        <v>1</v>
      </c>
      <c r="BC11" s="4">
        <f t="shared" si="22"/>
        <v>1</v>
      </c>
      <c r="BD11" s="4">
        <f t="shared" si="22"/>
        <v>0</v>
      </c>
      <c r="BE11" s="4">
        <f t="shared" si="22"/>
        <v>0</v>
      </c>
      <c r="BF11" s="4">
        <f t="shared" si="22"/>
        <v>0</v>
      </c>
      <c r="BG11" s="4">
        <f t="shared" si="22"/>
        <v>0</v>
      </c>
      <c r="BH11" s="4">
        <f t="shared" si="22"/>
        <v>0</v>
      </c>
      <c r="BI11" s="4">
        <f t="shared" si="22"/>
        <v>0</v>
      </c>
      <c r="BJ11" s="4">
        <f t="shared" si="22"/>
        <v>0</v>
      </c>
      <c r="BK11" s="4">
        <f t="shared" si="22"/>
        <v>0</v>
      </c>
      <c r="BL11" s="4">
        <f t="shared" si="22"/>
        <v>0</v>
      </c>
      <c r="BM11" s="4">
        <f t="shared" si="22"/>
        <v>0</v>
      </c>
      <c r="BN11" s="4">
        <f t="shared" si="22"/>
        <v>1</v>
      </c>
      <c r="BO11" s="4">
        <f t="shared" si="22"/>
        <v>0</v>
      </c>
      <c r="BP11" s="4">
        <f t="shared" si="22"/>
        <v>1</v>
      </c>
      <c r="BQ11" s="4">
        <f t="shared" si="22"/>
        <v>0</v>
      </c>
      <c r="BR11" s="4">
        <f t="shared" si="22"/>
        <v>0</v>
      </c>
      <c r="BS11" s="4">
        <f t="shared" si="22"/>
        <v>0</v>
      </c>
      <c r="BT11" s="4">
        <f t="shared" si="22"/>
        <v>0</v>
      </c>
      <c r="BU11" s="4">
        <f t="shared" si="22"/>
        <v>0</v>
      </c>
      <c r="BV11" s="4">
        <f t="shared" si="22"/>
        <v>0</v>
      </c>
      <c r="BW11" s="4">
        <f t="shared" si="22"/>
        <v>0</v>
      </c>
      <c r="BX11" s="4">
        <f t="shared" si="22"/>
        <v>0</v>
      </c>
      <c r="BY11" s="4">
        <f t="shared" si="22"/>
        <v>0</v>
      </c>
    </row>
    <row r="12">
      <c r="A12" s="1" t="s">
        <v>74</v>
      </c>
      <c r="B12" s="1" t="s">
        <v>75</v>
      </c>
      <c r="C12" s="1" t="s">
        <v>76</v>
      </c>
      <c r="D12" s="1">
        <v>35200.0</v>
      </c>
      <c r="E12" s="1">
        <v>45200.0</v>
      </c>
      <c r="F12" s="1">
        <v>49600.0</v>
      </c>
      <c r="G12" s="1">
        <v>39000.0</v>
      </c>
      <c r="H12" s="1">
        <v>46600.0</v>
      </c>
      <c r="I12" s="1">
        <v>34400.0</v>
      </c>
      <c r="J12" s="1">
        <v>36500.0</v>
      </c>
      <c r="K12" s="1">
        <v>42500.0</v>
      </c>
      <c r="L12" s="1">
        <v>41500.0</v>
      </c>
      <c r="M12" s="1">
        <v>50900.0</v>
      </c>
      <c r="N12" s="1">
        <v>44400.0</v>
      </c>
      <c r="O12" s="1">
        <v>49900.0</v>
      </c>
      <c r="P12" s="1">
        <v>54200.0</v>
      </c>
      <c r="Q12" s="1">
        <v>34000.0</v>
      </c>
      <c r="R12" s="1">
        <v>38700.0</v>
      </c>
      <c r="S12" s="1">
        <v>50700.0</v>
      </c>
      <c r="T12" s="1">
        <v>43200.0</v>
      </c>
      <c r="U12" s="1">
        <v>45400.0</v>
      </c>
      <c r="V12" s="1">
        <v>69000.0</v>
      </c>
      <c r="W12" s="1">
        <v>60200.0</v>
      </c>
      <c r="X12" s="1">
        <v>60800.0</v>
      </c>
      <c r="Y12" s="1">
        <v>69800.0</v>
      </c>
      <c r="Z12" s="1">
        <v>52300.0</v>
      </c>
      <c r="AA12" s="1">
        <v>56700.0</v>
      </c>
      <c r="AB12" s="3">
        <f t="shared" si="3"/>
        <v>47945.83333</v>
      </c>
      <c r="AC12" s="4">
        <f t="shared" si="4"/>
        <v>10114.43132</v>
      </c>
      <c r="AD12" s="4">
        <f t="shared" ref="AD12:BA12" si="23">(D12-$AB12)/$AC12</f>
        <v>-1.26016312</v>
      </c>
      <c r="AE12" s="4">
        <f t="shared" si="23"/>
        <v>-0.2714767885</v>
      </c>
      <c r="AF12" s="4">
        <f t="shared" si="23"/>
        <v>0.1635451973</v>
      </c>
      <c r="AG12" s="4">
        <f t="shared" si="23"/>
        <v>-0.8844623139</v>
      </c>
      <c r="AH12" s="4">
        <f t="shared" si="23"/>
        <v>-0.1330607021</v>
      </c>
      <c r="AI12" s="4">
        <f t="shared" si="23"/>
        <v>-1.339258026</v>
      </c>
      <c r="AJ12" s="4">
        <f t="shared" si="23"/>
        <v>-1.131633897</v>
      </c>
      <c r="AK12" s="4">
        <f t="shared" si="23"/>
        <v>-0.538422098</v>
      </c>
      <c r="AL12" s="4">
        <f t="shared" si="23"/>
        <v>-0.6372907311</v>
      </c>
      <c r="AM12" s="4">
        <f t="shared" si="23"/>
        <v>0.2920744204</v>
      </c>
      <c r="AN12" s="4">
        <f t="shared" si="23"/>
        <v>-0.350571695</v>
      </c>
      <c r="AO12" s="4">
        <f t="shared" si="23"/>
        <v>0.1932057873</v>
      </c>
      <c r="AP12" s="4">
        <f t="shared" si="23"/>
        <v>0.6183409097</v>
      </c>
      <c r="AQ12" s="4">
        <f t="shared" si="23"/>
        <v>-1.37880548</v>
      </c>
      <c r="AR12" s="4">
        <f t="shared" si="23"/>
        <v>-0.9141229039</v>
      </c>
      <c r="AS12" s="4">
        <f t="shared" si="23"/>
        <v>0.2723006938</v>
      </c>
      <c r="AT12" s="4">
        <f t="shared" si="23"/>
        <v>-0.4692140548</v>
      </c>
      <c r="AU12" s="4">
        <f t="shared" si="23"/>
        <v>-0.2517030619</v>
      </c>
      <c r="AV12" s="4">
        <f t="shared" si="23"/>
        <v>2.08159668</v>
      </c>
      <c r="AW12" s="4">
        <f t="shared" si="23"/>
        <v>1.211552709</v>
      </c>
      <c r="AX12" s="4">
        <f t="shared" si="23"/>
        <v>1.270873888</v>
      </c>
      <c r="AY12" s="4">
        <f t="shared" si="23"/>
        <v>2.160691587</v>
      </c>
      <c r="AZ12" s="4">
        <f t="shared" si="23"/>
        <v>0.4304905068</v>
      </c>
      <c r="BA12" s="4">
        <f t="shared" si="23"/>
        <v>0.8655124926</v>
      </c>
      <c r="BB12" s="4">
        <f t="shared" ref="BB12:BY12" si="24">IF(AD12&gt;=1,1,0)
</f>
        <v>0</v>
      </c>
      <c r="BC12" s="4">
        <f t="shared" si="24"/>
        <v>0</v>
      </c>
      <c r="BD12" s="4">
        <f t="shared" si="24"/>
        <v>0</v>
      </c>
      <c r="BE12" s="4">
        <f t="shared" si="24"/>
        <v>0</v>
      </c>
      <c r="BF12" s="4">
        <f t="shared" si="24"/>
        <v>0</v>
      </c>
      <c r="BG12" s="4">
        <f t="shared" si="24"/>
        <v>0</v>
      </c>
      <c r="BH12" s="4">
        <f t="shared" si="24"/>
        <v>0</v>
      </c>
      <c r="BI12" s="4">
        <f t="shared" si="24"/>
        <v>0</v>
      </c>
      <c r="BJ12" s="4">
        <f t="shared" si="24"/>
        <v>0</v>
      </c>
      <c r="BK12" s="4">
        <f t="shared" si="24"/>
        <v>0</v>
      </c>
      <c r="BL12" s="4">
        <f t="shared" si="24"/>
        <v>0</v>
      </c>
      <c r="BM12" s="4">
        <f t="shared" si="24"/>
        <v>0</v>
      </c>
      <c r="BN12" s="4">
        <f t="shared" si="24"/>
        <v>0</v>
      </c>
      <c r="BO12" s="4">
        <f t="shared" si="24"/>
        <v>0</v>
      </c>
      <c r="BP12" s="4">
        <f t="shared" si="24"/>
        <v>0</v>
      </c>
      <c r="BQ12" s="4">
        <f t="shared" si="24"/>
        <v>0</v>
      </c>
      <c r="BR12" s="4">
        <f t="shared" si="24"/>
        <v>0</v>
      </c>
      <c r="BS12" s="4">
        <f t="shared" si="24"/>
        <v>0</v>
      </c>
      <c r="BT12" s="4">
        <f t="shared" si="24"/>
        <v>1</v>
      </c>
      <c r="BU12" s="4">
        <f t="shared" si="24"/>
        <v>1</v>
      </c>
      <c r="BV12" s="4">
        <f t="shared" si="24"/>
        <v>1</v>
      </c>
      <c r="BW12" s="4">
        <f t="shared" si="24"/>
        <v>1</v>
      </c>
      <c r="BX12" s="4">
        <f t="shared" si="24"/>
        <v>0</v>
      </c>
      <c r="BY12" s="4">
        <f t="shared" si="24"/>
        <v>0</v>
      </c>
    </row>
    <row r="13">
      <c r="A13" s="1" t="s">
        <v>77</v>
      </c>
      <c r="B13" s="1" t="s">
        <v>54</v>
      </c>
      <c r="C13" s="1" t="s">
        <v>55</v>
      </c>
      <c r="D13" s="1">
        <v>11200.0</v>
      </c>
      <c r="E13" s="1">
        <v>13100.0</v>
      </c>
      <c r="F13" s="1">
        <v>7700.0</v>
      </c>
      <c r="G13" s="1">
        <v>11300.0</v>
      </c>
      <c r="H13" s="1">
        <v>14400.0</v>
      </c>
      <c r="I13" s="1">
        <v>10000.0</v>
      </c>
      <c r="J13" s="1">
        <v>11000.0</v>
      </c>
      <c r="K13" s="1">
        <v>11700.0</v>
      </c>
      <c r="L13" s="1">
        <v>13900.0</v>
      </c>
      <c r="M13" s="1">
        <v>14500.0</v>
      </c>
      <c r="N13" s="1">
        <v>11200.0</v>
      </c>
      <c r="O13" s="1">
        <v>10800.0</v>
      </c>
      <c r="P13" s="1">
        <v>9200.0</v>
      </c>
      <c r="Q13" s="1">
        <v>6900.0</v>
      </c>
      <c r="R13" s="1">
        <v>7900.0</v>
      </c>
      <c r="S13" s="1">
        <v>15500.0</v>
      </c>
      <c r="T13" s="1">
        <v>10100.0</v>
      </c>
      <c r="U13" s="1">
        <v>8500.0</v>
      </c>
      <c r="V13" s="1">
        <v>7700.0</v>
      </c>
      <c r="W13" s="1">
        <v>8200.0</v>
      </c>
      <c r="X13" s="1">
        <v>6100.0</v>
      </c>
      <c r="Y13" s="1">
        <v>7800.0</v>
      </c>
      <c r="Z13" s="1">
        <v>7200.0</v>
      </c>
      <c r="AA13" s="1">
        <v>5100.0</v>
      </c>
      <c r="AB13" s="3">
        <f t="shared" si="3"/>
        <v>10041.66667</v>
      </c>
      <c r="AC13" s="4">
        <f t="shared" si="4"/>
        <v>2846.648169</v>
      </c>
      <c r="AD13" s="4">
        <f t="shared" ref="AD13:BA13" si="25">(D13-$AB13)/$AC13</f>
        <v>0.4069113092</v>
      </c>
      <c r="AE13" s="4">
        <f t="shared" si="25"/>
        <v>1.074362953</v>
      </c>
      <c r="AF13" s="4">
        <f t="shared" si="25"/>
        <v>-0.822604877</v>
      </c>
      <c r="AG13" s="4">
        <f t="shared" si="25"/>
        <v>0.4420403431</v>
      </c>
      <c r="AH13" s="4">
        <f t="shared" si="25"/>
        <v>1.531040394</v>
      </c>
      <c r="AI13" s="4">
        <f t="shared" si="25"/>
        <v>-0.01463709745</v>
      </c>
      <c r="AJ13" s="4">
        <f t="shared" si="25"/>
        <v>0.3366532415</v>
      </c>
      <c r="AK13" s="4">
        <f t="shared" si="25"/>
        <v>0.5825564787</v>
      </c>
      <c r="AL13" s="4">
        <f t="shared" si="25"/>
        <v>1.355395224</v>
      </c>
      <c r="AM13" s="4">
        <f t="shared" si="25"/>
        <v>1.566169428</v>
      </c>
      <c r="AN13" s="4">
        <f t="shared" si="25"/>
        <v>0.4069113092</v>
      </c>
      <c r="AO13" s="4">
        <f t="shared" si="25"/>
        <v>0.2663951737</v>
      </c>
      <c r="AP13" s="4">
        <f t="shared" si="25"/>
        <v>-0.2956693686</v>
      </c>
      <c r="AQ13" s="4">
        <f t="shared" si="25"/>
        <v>-1.103637148</v>
      </c>
      <c r="AR13" s="4">
        <f t="shared" si="25"/>
        <v>-0.7523468092</v>
      </c>
      <c r="AS13" s="4">
        <f t="shared" si="25"/>
        <v>1.917459767</v>
      </c>
      <c r="AT13" s="4">
        <f t="shared" si="25"/>
        <v>0.02049193644</v>
      </c>
      <c r="AU13" s="4">
        <f t="shared" si="25"/>
        <v>-0.5415726058</v>
      </c>
      <c r="AV13" s="4">
        <f t="shared" si="25"/>
        <v>-0.822604877</v>
      </c>
      <c r="AW13" s="4">
        <f t="shared" si="25"/>
        <v>-0.6469597075</v>
      </c>
      <c r="AX13" s="4">
        <f t="shared" si="25"/>
        <v>-1.384669419</v>
      </c>
      <c r="AY13" s="4">
        <f t="shared" si="25"/>
        <v>-0.7874758431</v>
      </c>
      <c r="AZ13" s="4">
        <f t="shared" si="25"/>
        <v>-0.9982500464</v>
      </c>
      <c r="BA13" s="4">
        <f t="shared" si="25"/>
        <v>-1.735959758</v>
      </c>
      <c r="BB13" s="4">
        <f t="shared" ref="BB13:BY13" si="26">IF(AD13&gt;=1,1,0)
</f>
        <v>0</v>
      </c>
      <c r="BC13" s="4">
        <f t="shared" si="26"/>
        <v>1</v>
      </c>
      <c r="BD13" s="4">
        <f t="shared" si="26"/>
        <v>0</v>
      </c>
      <c r="BE13" s="4">
        <f t="shared" si="26"/>
        <v>0</v>
      </c>
      <c r="BF13" s="4">
        <f t="shared" si="26"/>
        <v>1</v>
      </c>
      <c r="BG13" s="4">
        <f t="shared" si="26"/>
        <v>0</v>
      </c>
      <c r="BH13" s="4">
        <f t="shared" si="26"/>
        <v>0</v>
      </c>
      <c r="BI13" s="4">
        <f t="shared" si="26"/>
        <v>0</v>
      </c>
      <c r="BJ13" s="4">
        <f t="shared" si="26"/>
        <v>1</v>
      </c>
      <c r="BK13" s="4">
        <f t="shared" si="26"/>
        <v>1</v>
      </c>
      <c r="BL13" s="4">
        <f t="shared" si="26"/>
        <v>0</v>
      </c>
      <c r="BM13" s="4">
        <f t="shared" si="26"/>
        <v>0</v>
      </c>
      <c r="BN13" s="4">
        <f t="shared" si="26"/>
        <v>0</v>
      </c>
      <c r="BO13" s="4">
        <f t="shared" si="26"/>
        <v>0</v>
      </c>
      <c r="BP13" s="4">
        <f t="shared" si="26"/>
        <v>0</v>
      </c>
      <c r="BQ13" s="4">
        <f t="shared" si="26"/>
        <v>1</v>
      </c>
      <c r="BR13" s="4">
        <f t="shared" si="26"/>
        <v>0</v>
      </c>
      <c r="BS13" s="4">
        <f t="shared" si="26"/>
        <v>0</v>
      </c>
      <c r="BT13" s="4">
        <f t="shared" si="26"/>
        <v>0</v>
      </c>
      <c r="BU13" s="4">
        <f t="shared" si="26"/>
        <v>0</v>
      </c>
      <c r="BV13" s="4">
        <f t="shared" si="26"/>
        <v>0</v>
      </c>
      <c r="BW13" s="4">
        <f t="shared" si="26"/>
        <v>0</v>
      </c>
      <c r="BX13" s="4">
        <f t="shared" si="26"/>
        <v>0</v>
      </c>
      <c r="BY13" s="4">
        <f t="shared" si="26"/>
        <v>0</v>
      </c>
    </row>
    <row r="14">
      <c r="A14" s="1" t="s">
        <v>78</v>
      </c>
      <c r="B14" s="1" t="s">
        <v>79</v>
      </c>
      <c r="C14" s="1" t="s">
        <v>80</v>
      </c>
      <c r="D14" s="1">
        <v>2300.0</v>
      </c>
      <c r="E14" s="1">
        <v>2300.0</v>
      </c>
      <c r="F14" s="1">
        <v>4000.0</v>
      </c>
      <c r="G14" s="1">
        <v>3000.0</v>
      </c>
      <c r="H14" s="1">
        <v>4800.0</v>
      </c>
      <c r="I14" s="1">
        <v>2600.0</v>
      </c>
      <c r="J14" s="1">
        <v>5300.0</v>
      </c>
      <c r="K14" s="1">
        <v>8300.0</v>
      </c>
      <c r="L14" s="1">
        <v>4000.0</v>
      </c>
      <c r="M14" s="1">
        <v>6400.0</v>
      </c>
      <c r="N14" s="1">
        <v>6400.0</v>
      </c>
      <c r="O14" s="1">
        <v>7600.0</v>
      </c>
      <c r="P14" s="1">
        <v>12700.0</v>
      </c>
      <c r="Q14" s="1">
        <v>12700.0</v>
      </c>
      <c r="R14" s="1">
        <v>15800.0</v>
      </c>
      <c r="S14" s="1">
        <v>16900.0</v>
      </c>
      <c r="T14" s="1">
        <v>12000.0</v>
      </c>
      <c r="U14" s="1">
        <v>16100.0</v>
      </c>
      <c r="V14" s="1">
        <v>17900.0</v>
      </c>
      <c r="W14" s="1">
        <v>17800.0</v>
      </c>
      <c r="X14" s="1">
        <v>16000.0</v>
      </c>
      <c r="Y14" s="1">
        <v>27200.0</v>
      </c>
      <c r="Z14" s="1">
        <v>20300.0</v>
      </c>
      <c r="AA14" s="1">
        <v>19900.0</v>
      </c>
      <c r="AB14" s="3">
        <f t="shared" si="3"/>
        <v>10929.16667</v>
      </c>
      <c r="AC14" s="4">
        <f t="shared" si="4"/>
        <v>7081.972162</v>
      </c>
      <c r="AD14" s="4">
        <f t="shared" ref="AD14:BA14" si="27">(D14-$AB14)/$AC14</f>
        <v>-1.218469442</v>
      </c>
      <c r="AE14" s="4">
        <f t="shared" si="27"/>
        <v>-1.218469442</v>
      </c>
      <c r="AF14" s="4">
        <f t="shared" si="27"/>
        <v>-0.9784233131</v>
      </c>
      <c r="AG14" s="4">
        <f t="shared" si="27"/>
        <v>-1.119626918</v>
      </c>
      <c r="AH14" s="4">
        <f t="shared" si="27"/>
        <v>-0.8654604291</v>
      </c>
      <c r="AI14" s="4">
        <f t="shared" si="27"/>
        <v>-1.17610836</v>
      </c>
      <c r="AJ14" s="4">
        <f t="shared" si="27"/>
        <v>-0.7948586266</v>
      </c>
      <c r="AK14" s="4">
        <f t="shared" si="27"/>
        <v>-0.3712478115</v>
      </c>
      <c r="AL14" s="4">
        <f t="shared" si="27"/>
        <v>-0.9784233131</v>
      </c>
      <c r="AM14" s="4">
        <f t="shared" si="27"/>
        <v>-0.6395346611</v>
      </c>
      <c r="AN14" s="4">
        <f t="shared" si="27"/>
        <v>-0.6395346611</v>
      </c>
      <c r="AO14" s="4">
        <f t="shared" si="27"/>
        <v>-0.470090335</v>
      </c>
      <c r="AP14" s="4">
        <f t="shared" si="27"/>
        <v>0.2500480506</v>
      </c>
      <c r="AQ14" s="4">
        <f t="shared" si="27"/>
        <v>0.2500480506</v>
      </c>
      <c r="AR14" s="4">
        <f t="shared" si="27"/>
        <v>0.6877792261</v>
      </c>
      <c r="AS14" s="4">
        <f t="shared" si="27"/>
        <v>0.8431031916</v>
      </c>
      <c r="AT14" s="4">
        <f t="shared" si="27"/>
        <v>0.151205527</v>
      </c>
      <c r="AU14" s="4">
        <f t="shared" si="27"/>
        <v>0.7301403076</v>
      </c>
      <c r="AV14" s="4">
        <f t="shared" si="27"/>
        <v>0.9843067967</v>
      </c>
      <c r="AW14" s="4">
        <f t="shared" si="27"/>
        <v>0.9701864362</v>
      </c>
      <c r="AX14" s="4">
        <f t="shared" si="27"/>
        <v>0.7160199471</v>
      </c>
      <c r="AY14" s="4">
        <f t="shared" si="27"/>
        <v>2.297500323</v>
      </c>
      <c r="AZ14" s="4">
        <f t="shared" si="27"/>
        <v>1.323195449</v>
      </c>
      <c r="BA14" s="4">
        <f t="shared" si="27"/>
        <v>1.266714007</v>
      </c>
      <c r="BB14" s="4">
        <f t="shared" ref="BB14:BY14" si="28">IF(AD14&gt;=1,1,0)
</f>
        <v>0</v>
      </c>
      <c r="BC14" s="4">
        <f t="shared" si="28"/>
        <v>0</v>
      </c>
      <c r="BD14" s="4">
        <f t="shared" si="28"/>
        <v>0</v>
      </c>
      <c r="BE14" s="4">
        <f t="shared" si="28"/>
        <v>0</v>
      </c>
      <c r="BF14" s="4">
        <f t="shared" si="28"/>
        <v>0</v>
      </c>
      <c r="BG14" s="4">
        <f t="shared" si="28"/>
        <v>0</v>
      </c>
      <c r="BH14" s="4">
        <f t="shared" si="28"/>
        <v>0</v>
      </c>
      <c r="BI14" s="4">
        <f t="shared" si="28"/>
        <v>0</v>
      </c>
      <c r="BJ14" s="4">
        <f t="shared" si="28"/>
        <v>0</v>
      </c>
      <c r="BK14" s="4">
        <f t="shared" si="28"/>
        <v>0</v>
      </c>
      <c r="BL14" s="4">
        <f t="shared" si="28"/>
        <v>0</v>
      </c>
      <c r="BM14" s="4">
        <f t="shared" si="28"/>
        <v>0</v>
      </c>
      <c r="BN14" s="4">
        <f t="shared" si="28"/>
        <v>0</v>
      </c>
      <c r="BO14" s="4">
        <f t="shared" si="28"/>
        <v>0</v>
      </c>
      <c r="BP14" s="4">
        <f t="shared" si="28"/>
        <v>0</v>
      </c>
      <c r="BQ14" s="4">
        <f t="shared" si="28"/>
        <v>0</v>
      </c>
      <c r="BR14" s="4">
        <f t="shared" si="28"/>
        <v>0</v>
      </c>
      <c r="BS14" s="4">
        <f t="shared" si="28"/>
        <v>0</v>
      </c>
      <c r="BT14" s="4">
        <f t="shared" si="28"/>
        <v>0</v>
      </c>
      <c r="BU14" s="4">
        <f t="shared" si="28"/>
        <v>0</v>
      </c>
      <c r="BV14" s="4">
        <f t="shared" si="28"/>
        <v>0</v>
      </c>
      <c r="BW14" s="4">
        <f t="shared" si="28"/>
        <v>1</v>
      </c>
      <c r="BX14" s="4">
        <f t="shared" si="28"/>
        <v>1</v>
      </c>
      <c r="BY14" s="4">
        <f t="shared" si="28"/>
        <v>1</v>
      </c>
    </row>
    <row r="15">
      <c r="A15" s="1" t="s">
        <v>81</v>
      </c>
      <c r="B15" s="1" t="s">
        <v>79</v>
      </c>
      <c r="C15" s="1" t="s">
        <v>82</v>
      </c>
      <c r="D15" s="1">
        <v>600.0</v>
      </c>
      <c r="E15" s="1">
        <v>1200.0</v>
      </c>
      <c r="F15" s="1">
        <v>1500.0</v>
      </c>
      <c r="G15" s="1">
        <v>1400.0</v>
      </c>
      <c r="H15" s="1">
        <v>2900.0</v>
      </c>
      <c r="I15" s="1">
        <v>1000.0</v>
      </c>
      <c r="J15" s="1">
        <v>4000.0</v>
      </c>
      <c r="K15" s="1">
        <v>11100.0</v>
      </c>
      <c r="L15" s="1">
        <v>12600.0</v>
      </c>
      <c r="M15" s="1">
        <v>18300.0</v>
      </c>
      <c r="N15" s="1">
        <v>15700.0</v>
      </c>
      <c r="O15" s="1">
        <v>28300.0</v>
      </c>
      <c r="P15" s="1">
        <v>26000.0</v>
      </c>
      <c r="Q15" s="1">
        <v>22300.0</v>
      </c>
      <c r="R15" s="1">
        <v>24000.0</v>
      </c>
      <c r="S15" s="1">
        <v>52000.0</v>
      </c>
      <c r="T15" s="1">
        <v>37400.0</v>
      </c>
      <c r="U15" s="1">
        <v>45700.0</v>
      </c>
      <c r="V15" s="1">
        <v>54500.0</v>
      </c>
      <c r="W15" s="1">
        <v>58100.0</v>
      </c>
      <c r="X15" s="1">
        <v>60800.0</v>
      </c>
      <c r="Y15" s="1">
        <v>87500.0</v>
      </c>
      <c r="Z15" s="1">
        <v>72000.0</v>
      </c>
      <c r="AA15" s="1">
        <v>77000.0</v>
      </c>
      <c r="AB15" s="3">
        <f t="shared" si="3"/>
        <v>29829.16667</v>
      </c>
      <c r="AC15" s="4">
        <f t="shared" si="4"/>
        <v>27261.41531</v>
      </c>
      <c r="AD15" s="4">
        <f t="shared" ref="AD15:BA15" si="29">(D15-$AB15)/$AC15</f>
        <v>-1.072180822</v>
      </c>
      <c r="AE15" s="4">
        <f t="shared" si="29"/>
        <v>-1.050171693</v>
      </c>
      <c r="AF15" s="4">
        <f t="shared" si="29"/>
        <v>-1.039167129</v>
      </c>
      <c r="AG15" s="4">
        <f t="shared" si="29"/>
        <v>-1.042835317</v>
      </c>
      <c r="AH15" s="4">
        <f t="shared" si="29"/>
        <v>-0.9878124948</v>
      </c>
      <c r="AI15" s="4">
        <f t="shared" si="29"/>
        <v>-1.057508069</v>
      </c>
      <c r="AJ15" s="4">
        <f t="shared" si="29"/>
        <v>-0.9474624254</v>
      </c>
      <c r="AK15" s="4">
        <f t="shared" si="29"/>
        <v>-0.6870210683</v>
      </c>
      <c r="AL15" s="4">
        <f t="shared" si="29"/>
        <v>-0.6319982464</v>
      </c>
      <c r="AM15" s="4">
        <f t="shared" si="29"/>
        <v>-0.422911523</v>
      </c>
      <c r="AN15" s="4">
        <f t="shared" si="29"/>
        <v>-0.5182844144</v>
      </c>
      <c r="AO15" s="4">
        <f t="shared" si="29"/>
        <v>-0.05609271014</v>
      </c>
      <c r="AP15" s="4">
        <f t="shared" si="29"/>
        <v>-0.1404610371</v>
      </c>
      <c r="AQ15" s="4">
        <f t="shared" si="29"/>
        <v>-0.2761839979</v>
      </c>
      <c r="AR15" s="4">
        <f t="shared" si="29"/>
        <v>-0.2138247997</v>
      </c>
      <c r="AS15" s="4">
        <f t="shared" si="29"/>
        <v>0.8132678764</v>
      </c>
      <c r="AT15" s="4">
        <f t="shared" si="29"/>
        <v>0.2777124096</v>
      </c>
      <c r="AU15" s="4">
        <f t="shared" si="29"/>
        <v>0.5821720243</v>
      </c>
      <c r="AV15" s="4">
        <f t="shared" si="29"/>
        <v>0.9049725796</v>
      </c>
      <c r="AW15" s="4">
        <f t="shared" si="29"/>
        <v>1.037027352</v>
      </c>
      <c r="AX15" s="4">
        <f t="shared" si="29"/>
        <v>1.136068432</v>
      </c>
      <c r="AY15" s="4">
        <f t="shared" si="29"/>
        <v>2.115474662</v>
      </c>
      <c r="AZ15" s="4">
        <f t="shared" si="29"/>
        <v>1.546905502</v>
      </c>
      <c r="BA15" s="4">
        <f t="shared" si="29"/>
        <v>1.730314909</v>
      </c>
      <c r="BB15" s="4">
        <f t="shared" ref="BB15:BY15" si="30">IF(AD15&gt;=1,1,0)
</f>
        <v>0</v>
      </c>
      <c r="BC15" s="4">
        <f t="shared" si="30"/>
        <v>0</v>
      </c>
      <c r="BD15" s="4">
        <f t="shared" si="30"/>
        <v>0</v>
      </c>
      <c r="BE15" s="4">
        <f t="shared" si="30"/>
        <v>0</v>
      </c>
      <c r="BF15" s="4">
        <f t="shared" si="30"/>
        <v>0</v>
      </c>
      <c r="BG15" s="4">
        <f t="shared" si="30"/>
        <v>0</v>
      </c>
      <c r="BH15" s="4">
        <f t="shared" si="30"/>
        <v>0</v>
      </c>
      <c r="BI15" s="4">
        <f t="shared" si="30"/>
        <v>0</v>
      </c>
      <c r="BJ15" s="4">
        <f t="shared" si="30"/>
        <v>0</v>
      </c>
      <c r="BK15" s="4">
        <f t="shared" si="30"/>
        <v>0</v>
      </c>
      <c r="BL15" s="4">
        <f t="shared" si="30"/>
        <v>0</v>
      </c>
      <c r="BM15" s="4">
        <f t="shared" si="30"/>
        <v>0</v>
      </c>
      <c r="BN15" s="4">
        <f t="shared" si="30"/>
        <v>0</v>
      </c>
      <c r="BO15" s="4">
        <f t="shared" si="30"/>
        <v>0</v>
      </c>
      <c r="BP15" s="4">
        <f t="shared" si="30"/>
        <v>0</v>
      </c>
      <c r="BQ15" s="4">
        <f t="shared" si="30"/>
        <v>0</v>
      </c>
      <c r="BR15" s="4">
        <f t="shared" si="30"/>
        <v>0</v>
      </c>
      <c r="BS15" s="4">
        <f t="shared" si="30"/>
        <v>0</v>
      </c>
      <c r="BT15" s="4">
        <f t="shared" si="30"/>
        <v>0</v>
      </c>
      <c r="BU15" s="4">
        <f t="shared" si="30"/>
        <v>1</v>
      </c>
      <c r="BV15" s="4">
        <f t="shared" si="30"/>
        <v>1</v>
      </c>
      <c r="BW15" s="4">
        <f t="shared" si="30"/>
        <v>1</v>
      </c>
      <c r="BX15" s="4">
        <f t="shared" si="30"/>
        <v>1</v>
      </c>
      <c r="BY15" s="4">
        <f t="shared" si="30"/>
        <v>1</v>
      </c>
    </row>
    <row r="16">
      <c r="A16" s="1" t="s">
        <v>83</v>
      </c>
      <c r="B16" s="1" t="s">
        <v>79</v>
      </c>
      <c r="C16" s="1" t="s">
        <v>82</v>
      </c>
      <c r="D16" s="1">
        <v>100.0</v>
      </c>
      <c r="E16" s="1">
        <v>200.0</v>
      </c>
      <c r="F16" s="1">
        <v>0.0</v>
      </c>
      <c r="G16" s="1">
        <v>0.0</v>
      </c>
      <c r="H16" s="1">
        <v>400.0</v>
      </c>
      <c r="I16" s="1">
        <v>100.0</v>
      </c>
      <c r="J16" s="1">
        <v>800.0</v>
      </c>
      <c r="K16" s="1">
        <v>800.0</v>
      </c>
      <c r="L16" s="1">
        <v>800.0</v>
      </c>
      <c r="M16" s="1">
        <v>1200.0</v>
      </c>
      <c r="N16" s="1">
        <v>500.0</v>
      </c>
      <c r="O16" s="1">
        <v>1100.0</v>
      </c>
      <c r="P16" s="1">
        <v>2000.0</v>
      </c>
      <c r="Q16" s="1">
        <v>2900.0</v>
      </c>
      <c r="R16" s="1">
        <v>2500.0</v>
      </c>
      <c r="S16" s="1">
        <v>5500.0</v>
      </c>
      <c r="T16" s="1">
        <v>3700.0</v>
      </c>
      <c r="U16" s="1">
        <v>4300.0</v>
      </c>
      <c r="V16" s="1">
        <v>8000.0</v>
      </c>
      <c r="W16" s="1">
        <v>11500.0</v>
      </c>
      <c r="X16" s="1">
        <v>8800.0</v>
      </c>
      <c r="Y16" s="1">
        <v>9800.0</v>
      </c>
      <c r="Z16" s="1">
        <v>5200.0</v>
      </c>
      <c r="AA16" s="1">
        <v>5700.0</v>
      </c>
      <c r="AB16" s="3">
        <f t="shared" si="3"/>
        <v>3162.5</v>
      </c>
      <c r="AC16" s="4">
        <f t="shared" si="4"/>
        <v>3460.059374</v>
      </c>
      <c r="AD16" s="4">
        <f t="shared" ref="AD16:BA16" si="31">(D16-$AB16)/$AC16</f>
        <v>-0.8851004186</v>
      </c>
      <c r="AE16" s="4">
        <f t="shared" si="31"/>
        <v>-0.8561991804</v>
      </c>
      <c r="AF16" s="4">
        <f t="shared" si="31"/>
        <v>-0.9140016567</v>
      </c>
      <c r="AG16" s="4">
        <f t="shared" si="31"/>
        <v>-0.9140016567</v>
      </c>
      <c r="AH16" s="4">
        <f t="shared" si="31"/>
        <v>-0.7983967041</v>
      </c>
      <c r="AI16" s="4">
        <f t="shared" si="31"/>
        <v>-0.8851004186</v>
      </c>
      <c r="AJ16" s="4">
        <f t="shared" si="31"/>
        <v>-0.6827917515</v>
      </c>
      <c r="AK16" s="4">
        <f t="shared" si="31"/>
        <v>-0.6827917515</v>
      </c>
      <c r="AL16" s="4">
        <f t="shared" si="31"/>
        <v>-0.6827917515</v>
      </c>
      <c r="AM16" s="4">
        <f t="shared" si="31"/>
        <v>-0.5671867988</v>
      </c>
      <c r="AN16" s="4">
        <f t="shared" si="31"/>
        <v>-0.769495466</v>
      </c>
      <c r="AO16" s="4">
        <f t="shared" si="31"/>
        <v>-0.596088037</v>
      </c>
      <c r="AP16" s="4">
        <f t="shared" si="31"/>
        <v>-0.3359768936</v>
      </c>
      <c r="AQ16" s="4">
        <f t="shared" si="31"/>
        <v>-0.07586575016</v>
      </c>
      <c r="AR16" s="4">
        <f t="shared" si="31"/>
        <v>-0.1914707028</v>
      </c>
      <c r="AS16" s="4">
        <f t="shared" si="31"/>
        <v>0.6755664419</v>
      </c>
      <c r="AT16" s="4">
        <f t="shared" si="31"/>
        <v>0.1553441551</v>
      </c>
      <c r="AU16" s="4">
        <f t="shared" si="31"/>
        <v>0.328751584</v>
      </c>
      <c r="AV16" s="4">
        <f t="shared" si="31"/>
        <v>1.398097396</v>
      </c>
      <c r="AW16" s="4">
        <f t="shared" si="31"/>
        <v>2.409640731</v>
      </c>
      <c r="AX16" s="4">
        <f t="shared" si="31"/>
        <v>1.629307301</v>
      </c>
      <c r="AY16" s="4">
        <f t="shared" si="31"/>
        <v>1.918319683</v>
      </c>
      <c r="AZ16" s="4">
        <f t="shared" si="31"/>
        <v>0.5888627275</v>
      </c>
      <c r="BA16" s="4">
        <f t="shared" si="31"/>
        <v>0.7333689183</v>
      </c>
      <c r="BB16" s="4">
        <f t="shared" ref="BB16:BY16" si="32">IF(AD16&gt;=1,1,0)
</f>
        <v>0</v>
      </c>
      <c r="BC16" s="4">
        <f t="shared" si="32"/>
        <v>0</v>
      </c>
      <c r="BD16" s="4">
        <f t="shared" si="32"/>
        <v>0</v>
      </c>
      <c r="BE16" s="4">
        <f t="shared" si="32"/>
        <v>0</v>
      </c>
      <c r="BF16" s="4">
        <f t="shared" si="32"/>
        <v>0</v>
      </c>
      <c r="BG16" s="4">
        <f t="shared" si="32"/>
        <v>0</v>
      </c>
      <c r="BH16" s="4">
        <f t="shared" si="32"/>
        <v>0</v>
      </c>
      <c r="BI16" s="4">
        <f t="shared" si="32"/>
        <v>0</v>
      </c>
      <c r="BJ16" s="4">
        <f t="shared" si="32"/>
        <v>0</v>
      </c>
      <c r="BK16" s="4">
        <f t="shared" si="32"/>
        <v>0</v>
      </c>
      <c r="BL16" s="4">
        <f t="shared" si="32"/>
        <v>0</v>
      </c>
      <c r="BM16" s="4">
        <f t="shared" si="32"/>
        <v>0</v>
      </c>
      <c r="BN16" s="4">
        <f t="shared" si="32"/>
        <v>0</v>
      </c>
      <c r="BO16" s="4">
        <f t="shared" si="32"/>
        <v>0</v>
      </c>
      <c r="BP16" s="4">
        <f t="shared" si="32"/>
        <v>0</v>
      </c>
      <c r="BQ16" s="4">
        <f t="shared" si="32"/>
        <v>0</v>
      </c>
      <c r="BR16" s="4">
        <f t="shared" si="32"/>
        <v>0</v>
      </c>
      <c r="BS16" s="4">
        <f t="shared" si="32"/>
        <v>0</v>
      </c>
      <c r="BT16" s="4">
        <f t="shared" si="32"/>
        <v>1</v>
      </c>
      <c r="BU16" s="4">
        <f t="shared" si="32"/>
        <v>1</v>
      </c>
      <c r="BV16" s="4">
        <f t="shared" si="32"/>
        <v>1</v>
      </c>
      <c r="BW16" s="4">
        <f t="shared" si="32"/>
        <v>1</v>
      </c>
      <c r="BX16" s="4">
        <f t="shared" si="32"/>
        <v>0</v>
      </c>
      <c r="BY16" s="4">
        <f t="shared" si="32"/>
        <v>0</v>
      </c>
    </row>
    <row r="17">
      <c r="A17" s="1" t="s">
        <v>84</v>
      </c>
      <c r="B17" s="1" t="s">
        <v>63</v>
      </c>
      <c r="C17" s="1" t="s">
        <v>64</v>
      </c>
      <c r="D17" s="1">
        <v>31100.0</v>
      </c>
      <c r="E17" s="1">
        <v>43300.0</v>
      </c>
      <c r="F17" s="1">
        <v>31600.0</v>
      </c>
      <c r="G17" s="1">
        <v>32700.0</v>
      </c>
      <c r="H17" s="1">
        <v>39600.0</v>
      </c>
      <c r="I17" s="1">
        <v>31100.0</v>
      </c>
      <c r="J17" s="1">
        <v>30800.0</v>
      </c>
      <c r="K17" s="1">
        <v>46600.0</v>
      </c>
      <c r="L17" s="1">
        <v>33600.0</v>
      </c>
      <c r="M17" s="1">
        <v>41400.0</v>
      </c>
      <c r="N17" s="1">
        <v>36500.0</v>
      </c>
      <c r="O17" s="1">
        <v>55500.0</v>
      </c>
      <c r="P17" s="1">
        <v>59000.0</v>
      </c>
      <c r="Q17" s="1">
        <v>32800.0</v>
      </c>
      <c r="R17" s="1">
        <v>34100.0</v>
      </c>
      <c r="S17" s="1">
        <v>49500.0</v>
      </c>
      <c r="T17" s="1">
        <v>38000.0</v>
      </c>
      <c r="U17" s="1">
        <v>35300.0</v>
      </c>
      <c r="V17" s="1">
        <v>47800.0</v>
      </c>
      <c r="W17" s="1">
        <v>39500.0</v>
      </c>
      <c r="X17" s="1">
        <v>30000.0</v>
      </c>
      <c r="Y17" s="1">
        <v>40400.0</v>
      </c>
      <c r="Z17" s="1">
        <v>32500.0</v>
      </c>
      <c r="AA17" s="1">
        <v>47200.0</v>
      </c>
      <c r="AB17" s="3">
        <f t="shared" si="3"/>
        <v>39162.5</v>
      </c>
      <c r="AC17" s="4">
        <f t="shared" si="4"/>
        <v>8165.239819</v>
      </c>
      <c r="AD17" s="4">
        <f t="shared" ref="AD17:BA17" si="33">(D17-$AB17)/$AC17</f>
        <v>-0.9874174156</v>
      </c>
      <c r="AE17" s="4">
        <f t="shared" si="33"/>
        <v>0.5067211854</v>
      </c>
      <c r="AF17" s="4">
        <f t="shared" si="33"/>
        <v>-0.926182227</v>
      </c>
      <c r="AG17" s="4">
        <f t="shared" si="33"/>
        <v>-0.7914648122</v>
      </c>
      <c r="AH17" s="4">
        <f t="shared" si="33"/>
        <v>0.05358078999</v>
      </c>
      <c r="AI17" s="4">
        <f t="shared" si="33"/>
        <v>-0.9874174156</v>
      </c>
      <c r="AJ17" s="4">
        <f t="shared" si="33"/>
        <v>-1.024158529</v>
      </c>
      <c r="AK17" s="4">
        <f t="shared" si="33"/>
        <v>0.9108734299</v>
      </c>
      <c r="AL17" s="4">
        <f t="shared" si="33"/>
        <v>-0.6812414728</v>
      </c>
      <c r="AM17" s="4">
        <f t="shared" si="33"/>
        <v>0.2740274688</v>
      </c>
      <c r="AN17" s="4">
        <f t="shared" si="33"/>
        <v>-0.3260773791</v>
      </c>
      <c r="AO17" s="4">
        <f t="shared" si="33"/>
        <v>2.000859786</v>
      </c>
      <c r="AP17" s="4">
        <f t="shared" si="33"/>
        <v>2.429506106</v>
      </c>
      <c r="AQ17" s="4">
        <f t="shared" si="33"/>
        <v>-0.7792177745</v>
      </c>
      <c r="AR17" s="4">
        <f t="shared" si="33"/>
        <v>-0.6200062842</v>
      </c>
      <c r="AS17" s="4">
        <f t="shared" si="33"/>
        <v>1.266037524</v>
      </c>
      <c r="AT17" s="4">
        <f t="shared" si="33"/>
        <v>-0.1423718134</v>
      </c>
      <c r="AU17" s="4">
        <f t="shared" si="33"/>
        <v>-0.4730418317</v>
      </c>
      <c r="AV17" s="4">
        <f t="shared" si="33"/>
        <v>1.057837882</v>
      </c>
      <c r="AW17" s="4">
        <f t="shared" si="33"/>
        <v>0.04133375228</v>
      </c>
      <c r="AX17" s="4">
        <f t="shared" si="33"/>
        <v>-1.12213483</v>
      </c>
      <c r="AY17" s="4">
        <f t="shared" si="33"/>
        <v>0.1515570917</v>
      </c>
      <c r="AZ17" s="4">
        <f t="shared" si="33"/>
        <v>-0.8159588876</v>
      </c>
      <c r="BA17" s="4">
        <f t="shared" si="33"/>
        <v>0.9843556562</v>
      </c>
      <c r="BB17" s="4">
        <f t="shared" ref="BB17:BY17" si="34">IF(AD17&gt;=1,1,0)
</f>
        <v>0</v>
      </c>
      <c r="BC17" s="4">
        <f t="shared" si="34"/>
        <v>0</v>
      </c>
      <c r="BD17" s="4">
        <f t="shared" si="34"/>
        <v>0</v>
      </c>
      <c r="BE17" s="4">
        <f t="shared" si="34"/>
        <v>0</v>
      </c>
      <c r="BF17" s="4">
        <f t="shared" si="34"/>
        <v>0</v>
      </c>
      <c r="BG17" s="4">
        <f t="shared" si="34"/>
        <v>0</v>
      </c>
      <c r="BH17" s="4">
        <f t="shared" si="34"/>
        <v>0</v>
      </c>
      <c r="BI17" s="4">
        <f t="shared" si="34"/>
        <v>0</v>
      </c>
      <c r="BJ17" s="4">
        <f t="shared" si="34"/>
        <v>0</v>
      </c>
      <c r="BK17" s="4">
        <f t="shared" si="34"/>
        <v>0</v>
      </c>
      <c r="BL17" s="4">
        <f t="shared" si="34"/>
        <v>0</v>
      </c>
      <c r="BM17" s="4">
        <f t="shared" si="34"/>
        <v>1</v>
      </c>
      <c r="BN17" s="4">
        <f t="shared" si="34"/>
        <v>1</v>
      </c>
      <c r="BO17" s="4">
        <f t="shared" si="34"/>
        <v>0</v>
      </c>
      <c r="BP17" s="4">
        <f t="shared" si="34"/>
        <v>0</v>
      </c>
      <c r="BQ17" s="4">
        <f t="shared" si="34"/>
        <v>1</v>
      </c>
      <c r="BR17" s="4">
        <f t="shared" si="34"/>
        <v>0</v>
      </c>
      <c r="BS17" s="4">
        <f t="shared" si="34"/>
        <v>0</v>
      </c>
      <c r="BT17" s="4">
        <f t="shared" si="34"/>
        <v>1</v>
      </c>
      <c r="BU17" s="4">
        <f t="shared" si="34"/>
        <v>0</v>
      </c>
      <c r="BV17" s="4">
        <f t="shared" si="34"/>
        <v>0</v>
      </c>
      <c r="BW17" s="4">
        <f t="shared" si="34"/>
        <v>0</v>
      </c>
      <c r="BX17" s="4">
        <f t="shared" si="34"/>
        <v>0</v>
      </c>
      <c r="BY17" s="4">
        <f t="shared" si="34"/>
        <v>0</v>
      </c>
    </row>
    <row r="18">
      <c r="A18" s="1" t="s">
        <v>85</v>
      </c>
      <c r="B18" s="1" t="s">
        <v>72</v>
      </c>
      <c r="C18" s="1" t="s">
        <v>73</v>
      </c>
      <c r="D18" s="1">
        <v>3210100.0</v>
      </c>
      <c r="E18" s="1">
        <v>4026900.0</v>
      </c>
      <c r="F18" s="1">
        <v>3284500.0</v>
      </c>
      <c r="G18" s="1">
        <v>3144900.0</v>
      </c>
      <c r="H18" s="1">
        <v>3745100.0</v>
      </c>
      <c r="I18" s="1">
        <v>2792400.0</v>
      </c>
      <c r="J18" s="1">
        <v>2645300.0</v>
      </c>
      <c r="K18" s="1">
        <v>3136100.0</v>
      </c>
      <c r="L18" s="1">
        <v>2427700.0</v>
      </c>
      <c r="M18" s="1">
        <v>2885400.0</v>
      </c>
      <c r="N18" s="1">
        <v>2680800.0</v>
      </c>
      <c r="O18" s="1">
        <v>2670700.0</v>
      </c>
      <c r="P18" s="1">
        <v>3358800.0</v>
      </c>
      <c r="Q18" s="1">
        <v>2268700.0</v>
      </c>
      <c r="R18" s="1">
        <v>2332100.0</v>
      </c>
      <c r="S18" s="1">
        <v>3032500.0</v>
      </c>
      <c r="T18" s="1">
        <v>2342600.0</v>
      </c>
      <c r="U18" s="1">
        <v>2147700.0</v>
      </c>
      <c r="V18" s="1">
        <v>3110200.0</v>
      </c>
      <c r="W18" s="1">
        <v>2567800.0</v>
      </c>
      <c r="X18" s="1">
        <v>2483800.0</v>
      </c>
      <c r="Y18" s="1">
        <v>3181700.0</v>
      </c>
      <c r="Z18" s="1">
        <v>2556300.0</v>
      </c>
      <c r="AA18" s="1">
        <v>2463200.0</v>
      </c>
      <c r="AB18" s="3">
        <f t="shared" si="3"/>
        <v>2853970.833</v>
      </c>
      <c r="AC18" s="4">
        <f t="shared" si="4"/>
        <v>477089.1854</v>
      </c>
      <c r="AD18" s="4">
        <f t="shared" ref="AD18:BA18" si="35">(D18-$AB18)/$AC18</f>
        <v>0.7464624593</v>
      </c>
      <c r="AE18" s="4">
        <f t="shared" si="35"/>
        <v>2.458511328</v>
      </c>
      <c r="AF18" s="4">
        <f t="shared" si="35"/>
        <v>0.9024081447</v>
      </c>
      <c r="AG18" s="4">
        <f t="shared" si="35"/>
        <v>0.6098003802</v>
      </c>
      <c r="AH18" s="4">
        <f t="shared" si="35"/>
        <v>1.867846084</v>
      </c>
      <c r="AI18" s="4">
        <f t="shared" si="35"/>
        <v>-0.1290551855</v>
      </c>
      <c r="AJ18" s="4">
        <f t="shared" si="35"/>
        <v>-0.4373832812</v>
      </c>
      <c r="AK18" s="4">
        <f t="shared" si="35"/>
        <v>0.5913551916</v>
      </c>
      <c r="AL18" s="4">
        <f t="shared" si="35"/>
        <v>-0.89348249</v>
      </c>
      <c r="AM18" s="4">
        <f t="shared" si="35"/>
        <v>0.06587692119</v>
      </c>
      <c r="AN18" s="4">
        <f t="shared" si="35"/>
        <v>-0.3629737136</v>
      </c>
      <c r="AO18" s="4">
        <f t="shared" si="35"/>
        <v>-0.3841437596</v>
      </c>
      <c r="AP18" s="4">
        <f t="shared" si="35"/>
        <v>1.058144226</v>
      </c>
      <c r="AQ18" s="4">
        <f t="shared" si="35"/>
        <v>-1.226753511</v>
      </c>
      <c r="AR18" s="4">
        <f t="shared" si="35"/>
        <v>-1.093864311</v>
      </c>
      <c r="AS18" s="4">
        <f t="shared" si="35"/>
        <v>0.3742050168</v>
      </c>
      <c r="AT18" s="4">
        <f t="shared" si="35"/>
        <v>-1.071855848</v>
      </c>
      <c r="AU18" s="4">
        <f t="shared" si="35"/>
        <v>-1.480374854</v>
      </c>
      <c r="AV18" s="4">
        <f t="shared" si="35"/>
        <v>0.5370676479</v>
      </c>
      <c r="AW18" s="4">
        <f t="shared" si="35"/>
        <v>-0.5998267034</v>
      </c>
      <c r="AX18" s="4">
        <f t="shared" si="35"/>
        <v>-0.7758944127</v>
      </c>
      <c r="AY18" s="4">
        <f t="shared" si="35"/>
        <v>0.6869348052</v>
      </c>
      <c r="AZ18" s="4">
        <f t="shared" si="35"/>
        <v>-0.6239312112</v>
      </c>
      <c r="BA18" s="4">
        <f t="shared" si="35"/>
        <v>-0.8190729224</v>
      </c>
      <c r="BB18" s="4">
        <f t="shared" ref="BB18:BY18" si="36">IF(AD18&gt;=1,1,0)
</f>
        <v>0</v>
      </c>
      <c r="BC18" s="4">
        <f t="shared" si="36"/>
        <v>1</v>
      </c>
      <c r="BD18" s="4">
        <f t="shared" si="36"/>
        <v>0</v>
      </c>
      <c r="BE18" s="4">
        <f t="shared" si="36"/>
        <v>0</v>
      </c>
      <c r="BF18" s="4">
        <f t="shared" si="36"/>
        <v>1</v>
      </c>
      <c r="BG18" s="4">
        <f t="shared" si="36"/>
        <v>0</v>
      </c>
      <c r="BH18" s="4">
        <f t="shared" si="36"/>
        <v>0</v>
      </c>
      <c r="BI18" s="4">
        <f t="shared" si="36"/>
        <v>0</v>
      </c>
      <c r="BJ18" s="4">
        <f t="shared" si="36"/>
        <v>0</v>
      </c>
      <c r="BK18" s="4">
        <f t="shared" si="36"/>
        <v>0</v>
      </c>
      <c r="BL18" s="4">
        <f t="shared" si="36"/>
        <v>0</v>
      </c>
      <c r="BM18" s="4">
        <f t="shared" si="36"/>
        <v>0</v>
      </c>
      <c r="BN18" s="4">
        <f t="shared" si="36"/>
        <v>1</v>
      </c>
      <c r="BO18" s="4">
        <f t="shared" si="36"/>
        <v>0</v>
      </c>
      <c r="BP18" s="4">
        <f t="shared" si="36"/>
        <v>0</v>
      </c>
      <c r="BQ18" s="4">
        <f t="shared" si="36"/>
        <v>0</v>
      </c>
      <c r="BR18" s="4">
        <f t="shared" si="36"/>
        <v>0</v>
      </c>
      <c r="BS18" s="4">
        <f t="shared" si="36"/>
        <v>0</v>
      </c>
      <c r="BT18" s="4">
        <f t="shared" si="36"/>
        <v>0</v>
      </c>
      <c r="BU18" s="4">
        <f t="shared" si="36"/>
        <v>0</v>
      </c>
      <c r="BV18" s="4">
        <f t="shared" si="36"/>
        <v>0</v>
      </c>
      <c r="BW18" s="4">
        <f t="shared" si="36"/>
        <v>0</v>
      </c>
      <c r="BX18" s="4">
        <f t="shared" si="36"/>
        <v>0</v>
      </c>
      <c r="BY18" s="4">
        <f t="shared" si="36"/>
        <v>0</v>
      </c>
    </row>
    <row r="19">
      <c r="A19" s="1" t="s">
        <v>86</v>
      </c>
      <c r="B19" s="1" t="s">
        <v>79</v>
      </c>
      <c r="C19" s="1" t="s">
        <v>79</v>
      </c>
      <c r="D19" s="1">
        <v>14600.0</v>
      </c>
      <c r="E19" s="1">
        <v>26700.0</v>
      </c>
      <c r="F19" s="1">
        <v>17400.0</v>
      </c>
      <c r="G19" s="1">
        <v>21000.0</v>
      </c>
      <c r="H19" s="1">
        <v>46400.0</v>
      </c>
      <c r="I19" s="1">
        <v>23900.0</v>
      </c>
      <c r="J19" s="1">
        <v>19400.0</v>
      </c>
      <c r="K19" s="1">
        <v>30700.0</v>
      </c>
      <c r="L19" s="1">
        <v>24700.0</v>
      </c>
      <c r="M19" s="1">
        <v>32700.0</v>
      </c>
      <c r="N19" s="1">
        <v>27000.0</v>
      </c>
      <c r="O19" s="1">
        <v>29400.0</v>
      </c>
      <c r="P19" s="1">
        <v>36200.0</v>
      </c>
      <c r="Q19" s="1">
        <v>30400.0</v>
      </c>
      <c r="R19" s="1">
        <v>40800.0</v>
      </c>
      <c r="S19" s="1">
        <v>57700.0</v>
      </c>
      <c r="T19" s="1">
        <v>45300.0</v>
      </c>
      <c r="U19" s="1">
        <v>35500.0</v>
      </c>
      <c r="V19" s="1">
        <v>45300.0</v>
      </c>
      <c r="W19" s="1">
        <v>43600.0</v>
      </c>
      <c r="X19" s="1">
        <v>48700.0</v>
      </c>
      <c r="Y19" s="1">
        <v>48700.0</v>
      </c>
      <c r="Z19" s="1">
        <v>35100.0</v>
      </c>
      <c r="AA19" s="1">
        <v>28700.0</v>
      </c>
      <c r="AB19" s="3">
        <f t="shared" si="3"/>
        <v>33745.83333</v>
      </c>
      <c r="AC19" s="4">
        <f t="shared" si="4"/>
        <v>11321.0454</v>
      </c>
      <c r="AD19" s="4">
        <f t="shared" ref="AD19:BA19" si="37">(D19-$AB19)/$AC19</f>
        <v>-1.691171854</v>
      </c>
      <c r="AE19" s="4">
        <f t="shared" si="37"/>
        <v>-0.6223659642</v>
      </c>
      <c r="AF19" s="4">
        <f t="shared" si="37"/>
        <v>-1.443844871</v>
      </c>
      <c r="AG19" s="4">
        <f t="shared" si="37"/>
        <v>-1.125853036</v>
      </c>
      <c r="AH19" s="4">
        <f t="shared" si="37"/>
        <v>1.117756022</v>
      </c>
      <c r="AI19" s="4">
        <f t="shared" si="37"/>
        <v>-0.869692947</v>
      </c>
      <c r="AJ19" s="4">
        <f t="shared" si="37"/>
        <v>-1.267182741</v>
      </c>
      <c r="AK19" s="4">
        <f t="shared" si="37"/>
        <v>-0.269041703</v>
      </c>
      <c r="AL19" s="4">
        <f t="shared" si="37"/>
        <v>-0.7990280948</v>
      </c>
      <c r="AM19" s="4">
        <f t="shared" si="37"/>
        <v>-0.09237957245</v>
      </c>
      <c r="AN19" s="4">
        <f t="shared" si="37"/>
        <v>-0.5958666446</v>
      </c>
      <c r="AO19" s="4">
        <f t="shared" si="37"/>
        <v>-0.3838720879</v>
      </c>
      <c r="AP19" s="4">
        <f t="shared" si="37"/>
        <v>0.2167791561</v>
      </c>
      <c r="AQ19" s="4">
        <f t="shared" si="37"/>
        <v>-0.2955410226</v>
      </c>
      <c r="AR19" s="4">
        <f t="shared" si="37"/>
        <v>0.6231020564</v>
      </c>
      <c r="AS19" s="4">
        <f t="shared" si="37"/>
        <v>2.11589706</v>
      </c>
      <c r="AT19" s="4">
        <f t="shared" si="37"/>
        <v>1.02059185</v>
      </c>
      <c r="AU19" s="4">
        <f t="shared" si="37"/>
        <v>0.1549474104</v>
      </c>
      <c r="AV19" s="4">
        <f t="shared" si="37"/>
        <v>1.02059185</v>
      </c>
      <c r="AW19" s="4">
        <f t="shared" si="37"/>
        <v>0.8704290393</v>
      </c>
      <c r="AX19" s="4">
        <f t="shared" si="37"/>
        <v>1.320917472</v>
      </c>
      <c r="AY19" s="4">
        <f t="shared" si="37"/>
        <v>1.320917472</v>
      </c>
      <c r="AZ19" s="4">
        <f t="shared" si="37"/>
        <v>0.1196149843</v>
      </c>
      <c r="BA19" s="4">
        <f t="shared" si="37"/>
        <v>-0.4457038336</v>
      </c>
      <c r="BB19" s="4">
        <f t="shared" ref="BB19:BY19" si="38">IF(AD19&gt;=1,1,0)
</f>
        <v>0</v>
      </c>
      <c r="BC19" s="4">
        <f t="shared" si="38"/>
        <v>0</v>
      </c>
      <c r="BD19" s="4">
        <f t="shared" si="38"/>
        <v>0</v>
      </c>
      <c r="BE19" s="4">
        <f t="shared" si="38"/>
        <v>0</v>
      </c>
      <c r="BF19" s="4">
        <f t="shared" si="38"/>
        <v>1</v>
      </c>
      <c r="BG19" s="4">
        <f t="shared" si="38"/>
        <v>0</v>
      </c>
      <c r="BH19" s="4">
        <f t="shared" si="38"/>
        <v>0</v>
      </c>
      <c r="BI19" s="4">
        <f t="shared" si="38"/>
        <v>0</v>
      </c>
      <c r="BJ19" s="4">
        <f t="shared" si="38"/>
        <v>0</v>
      </c>
      <c r="BK19" s="4">
        <f t="shared" si="38"/>
        <v>0</v>
      </c>
      <c r="BL19" s="4">
        <f t="shared" si="38"/>
        <v>0</v>
      </c>
      <c r="BM19" s="4">
        <f t="shared" si="38"/>
        <v>0</v>
      </c>
      <c r="BN19" s="4">
        <f t="shared" si="38"/>
        <v>0</v>
      </c>
      <c r="BO19" s="4">
        <f t="shared" si="38"/>
        <v>0</v>
      </c>
      <c r="BP19" s="4">
        <f t="shared" si="38"/>
        <v>0</v>
      </c>
      <c r="BQ19" s="4">
        <f t="shared" si="38"/>
        <v>1</v>
      </c>
      <c r="BR19" s="4">
        <f t="shared" si="38"/>
        <v>1</v>
      </c>
      <c r="BS19" s="4">
        <f t="shared" si="38"/>
        <v>0</v>
      </c>
      <c r="BT19" s="4">
        <f t="shared" si="38"/>
        <v>1</v>
      </c>
      <c r="BU19" s="4">
        <f t="shared" si="38"/>
        <v>0</v>
      </c>
      <c r="BV19" s="4">
        <f t="shared" si="38"/>
        <v>1</v>
      </c>
      <c r="BW19" s="4">
        <f t="shared" si="38"/>
        <v>1</v>
      </c>
      <c r="BX19" s="4">
        <f t="shared" si="38"/>
        <v>0</v>
      </c>
      <c r="BY19" s="4">
        <f t="shared" si="38"/>
        <v>0</v>
      </c>
    </row>
    <row r="20">
      <c r="A20" s="1" t="s">
        <v>87</v>
      </c>
      <c r="B20" s="1" t="s">
        <v>79</v>
      </c>
      <c r="C20" s="1" t="s">
        <v>79</v>
      </c>
      <c r="D20" s="1">
        <v>2500.0</v>
      </c>
      <c r="E20" s="1">
        <v>4600.0</v>
      </c>
      <c r="F20" s="1">
        <v>2300.0</v>
      </c>
      <c r="G20" s="1">
        <v>3700.0</v>
      </c>
      <c r="H20" s="1">
        <v>7100.0</v>
      </c>
      <c r="I20" s="1">
        <v>3200.0</v>
      </c>
      <c r="J20" s="1">
        <v>3500.0</v>
      </c>
      <c r="K20" s="1">
        <v>5000.0</v>
      </c>
      <c r="L20" s="1">
        <v>3700.0</v>
      </c>
      <c r="M20" s="1">
        <v>6200.0</v>
      </c>
      <c r="N20" s="1">
        <v>6200.0</v>
      </c>
      <c r="O20" s="1">
        <v>6500.0</v>
      </c>
      <c r="P20" s="1">
        <v>7600.0</v>
      </c>
      <c r="Q20" s="1">
        <v>4500.0</v>
      </c>
      <c r="R20" s="1">
        <v>5400.0</v>
      </c>
      <c r="S20" s="1">
        <v>9500.0</v>
      </c>
      <c r="T20" s="1">
        <v>5800.0</v>
      </c>
      <c r="U20" s="1">
        <v>7400.0</v>
      </c>
      <c r="V20" s="1">
        <v>11100.0</v>
      </c>
      <c r="W20" s="1">
        <v>7100.0</v>
      </c>
      <c r="X20" s="1">
        <v>7600.0</v>
      </c>
      <c r="Y20" s="1">
        <v>9400.0</v>
      </c>
      <c r="Z20" s="1">
        <v>11700.0</v>
      </c>
      <c r="AA20" s="1">
        <v>6900.0</v>
      </c>
      <c r="AB20" s="3">
        <f t="shared" si="3"/>
        <v>6187.5</v>
      </c>
      <c r="AC20" s="4">
        <f t="shared" si="4"/>
        <v>2539.481717</v>
      </c>
      <c r="AD20" s="4">
        <f t="shared" ref="AD20:BA20" si="39">(D20-$AB20)/$AC20</f>
        <v>-1.452067946</v>
      </c>
      <c r="AE20" s="4">
        <f t="shared" si="39"/>
        <v>-0.6251275563</v>
      </c>
      <c r="AF20" s="4">
        <f t="shared" si="39"/>
        <v>-1.530824173</v>
      </c>
      <c r="AG20" s="4">
        <f t="shared" si="39"/>
        <v>-0.9795305803</v>
      </c>
      <c r="AH20" s="4">
        <f t="shared" si="39"/>
        <v>0.3593252883</v>
      </c>
      <c r="AI20" s="4">
        <f t="shared" si="39"/>
        <v>-1.176421149</v>
      </c>
      <c r="AJ20" s="4">
        <f t="shared" si="39"/>
        <v>-1.058286808</v>
      </c>
      <c r="AK20" s="4">
        <f t="shared" si="39"/>
        <v>-0.4676151012</v>
      </c>
      <c r="AL20" s="4">
        <f t="shared" si="39"/>
        <v>-0.9795305803</v>
      </c>
      <c r="AM20" s="4">
        <f t="shared" si="39"/>
        <v>0.004922264223</v>
      </c>
      <c r="AN20" s="4">
        <f t="shared" si="39"/>
        <v>0.004922264223</v>
      </c>
      <c r="AO20" s="4">
        <f t="shared" si="39"/>
        <v>0.1230566056</v>
      </c>
      <c r="AP20" s="4">
        <f t="shared" si="39"/>
        <v>0.5562158572</v>
      </c>
      <c r="AQ20" s="4">
        <f t="shared" si="39"/>
        <v>-0.6645056701</v>
      </c>
      <c r="AR20" s="4">
        <f t="shared" si="39"/>
        <v>-0.310102646</v>
      </c>
      <c r="AS20" s="4">
        <f t="shared" si="39"/>
        <v>1.304400019</v>
      </c>
      <c r="AT20" s="4">
        <f t="shared" si="39"/>
        <v>-0.1525901909</v>
      </c>
      <c r="AU20" s="4">
        <f t="shared" si="39"/>
        <v>0.4774596296</v>
      </c>
      <c r="AV20" s="4">
        <f t="shared" si="39"/>
        <v>1.93444984</v>
      </c>
      <c r="AW20" s="4">
        <f t="shared" si="39"/>
        <v>0.3593252883</v>
      </c>
      <c r="AX20" s="4">
        <f t="shared" si="39"/>
        <v>0.5562158572</v>
      </c>
      <c r="AY20" s="4">
        <f t="shared" si="39"/>
        <v>1.265021905</v>
      </c>
      <c r="AZ20" s="4">
        <f t="shared" si="39"/>
        <v>2.170718522</v>
      </c>
      <c r="BA20" s="4">
        <f t="shared" si="39"/>
        <v>0.2805690607</v>
      </c>
      <c r="BB20" s="4">
        <f t="shared" ref="BB20:BY20" si="40">IF(AD20&gt;=1,1,0)
</f>
        <v>0</v>
      </c>
      <c r="BC20" s="4">
        <f t="shared" si="40"/>
        <v>0</v>
      </c>
      <c r="BD20" s="4">
        <f t="shared" si="40"/>
        <v>0</v>
      </c>
      <c r="BE20" s="4">
        <f t="shared" si="40"/>
        <v>0</v>
      </c>
      <c r="BF20" s="4">
        <f t="shared" si="40"/>
        <v>0</v>
      </c>
      <c r="BG20" s="4">
        <f t="shared" si="40"/>
        <v>0</v>
      </c>
      <c r="BH20" s="4">
        <f t="shared" si="40"/>
        <v>0</v>
      </c>
      <c r="BI20" s="4">
        <f t="shared" si="40"/>
        <v>0</v>
      </c>
      <c r="BJ20" s="4">
        <f t="shared" si="40"/>
        <v>0</v>
      </c>
      <c r="BK20" s="4">
        <f t="shared" si="40"/>
        <v>0</v>
      </c>
      <c r="BL20" s="4">
        <f t="shared" si="40"/>
        <v>0</v>
      </c>
      <c r="BM20" s="4">
        <f t="shared" si="40"/>
        <v>0</v>
      </c>
      <c r="BN20" s="4">
        <f t="shared" si="40"/>
        <v>0</v>
      </c>
      <c r="BO20" s="4">
        <f t="shared" si="40"/>
        <v>0</v>
      </c>
      <c r="BP20" s="4">
        <f t="shared" si="40"/>
        <v>0</v>
      </c>
      <c r="BQ20" s="4">
        <f t="shared" si="40"/>
        <v>1</v>
      </c>
      <c r="BR20" s="4">
        <f t="shared" si="40"/>
        <v>0</v>
      </c>
      <c r="BS20" s="4">
        <f t="shared" si="40"/>
        <v>0</v>
      </c>
      <c r="BT20" s="4">
        <f t="shared" si="40"/>
        <v>1</v>
      </c>
      <c r="BU20" s="4">
        <f t="shared" si="40"/>
        <v>0</v>
      </c>
      <c r="BV20" s="4">
        <f t="shared" si="40"/>
        <v>0</v>
      </c>
      <c r="BW20" s="4">
        <f t="shared" si="40"/>
        <v>1</v>
      </c>
      <c r="BX20" s="4">
        <f t="shared" si="40"/>
        <v>1</v>
      </c>
      <c r="BY20" s="4">
        <f t="shared" si="40"/>
        <v>0</v>
      </c>
    </row>
    <row r="21">
      <c r="A21" s="1" t="s">
        <v>88</v>
      </c>
      <c r="B21" s="1" t="s">
        <v>59</v>
      </c>
      <c r="C21" s="1" t="s">
        <v>89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600.0</v>
      </c>
      <c r="S21" s="1">
        <v>100.0</v>
      </c>
      <c r="T21" s="1">
        <v>0.0</v>
      </c>
      <c r="U21" s="1">
        <v>0.0</v>
      </c>
      <c r="V21" s="1">
        <v>100.0</v>
      </c>
      <c r="W21" s="1">
        <v>0.0</v>
      </c>
      <c r="X21" s="1">
        <v>0.0</v>
      </c>
      <c r="Y21" s="1">
        <v>3300.0</v>
      </c>
      <c r="Z21" s="1">
        <v>200.0</v>
      </c>
      <c r="AA21" s="1">
        <v>400.0</v>
      </c>
      <c r="AB21" s="3">
        <f t="shared" si="3"/>
        <v>195.8333333</v>
      </c>
      <c r="AC21" s="4">
        <f t="shared" si="4"/>
        <v>677.2573634</v>
      </c>
      <c r="AD21" s="4">
        <f t="shared" ref="AD21:BA21" si="41">(D21-$AB21)/$AC21</f>
        <v>-0.2891564476</v>
      </c>
      <c r="AE21" s="4">
        <f t="shared" si="41"/>
        <v>-0.2891564476</v>
      </c>
      <c r="AF21" s="4">
        <f t="shared" si="41"/>
        <v>-0.2891564476</v>
      </c>
      <c r="AG21" s="4">
        <f t="shared" si="41"/>
        <v>-0.2891564476</v>
      </c>
      <c r="AH21" s="4">
        <f t="shared" si="41"/>
        <v>-0.2891564476</v>
      </c>
      <c r="AI21" s="4">
        <f t="shared" si="41"/>
        <v>-0.2891564476</v>
      </c>
      <c r="AJ21" s="4">
        <f t="shared" si="41"/>
        <v>-0.2891564476</v>
      </c>
      <c r="AK21" s="4">
        <f t="shared" si="41"/>
        <v>-0.2891564476</v>
      </c>
      <c r="AL21" s="4">
        <f t="shared" si="41"/>
        <v>-0.2891564476</v>
      </c>
      <c r="AM21" s="4">
        <f t="shared" si="41"/>
        <v>-0.2891564476</v>
      </c>
      <c r="AN21" s="4">
        <f t="shared" si="41"/>
        <v>-0.2891564476</v>
      </c>
      <c r="AO21" s="4">
        <f t="shared" si="41"/>
        <v>-0.2891564476</v>
      </c>
      <c r="AP21" s="4">
        <f t="shared" si="41"/>
        <v>-0.2891564476</v>
      </c>
      <c r="AQ21" s="4">
        <f t="shared" si="41"/>
        <v>-0.2891564476</v>
      </c>
      <c r="AR21" s="4">
        <f t="shared" si="41"/>
        <v>0.5967696898</v>
      </c>
      <c r="AS21" s="4">
        <f t="shared" si="41"/>
        <v>-0.1415020914</v>
      </c>
      <c r="AT21" s="4">
        <f t="shared" si="41"/>
        <v>-0.2891564476</v>
      </c>
      <c r="AU21" s="4">
        <f t="shared" si="41"/>
        <v>-0.2891564476</v>
      </c>
      <c r="AV21" s="4">
        <f t="shared" si="41"/>
        <v>-0.1415020914</v>
      </c>
      <c r="AW21" s="4">
        <f t="shared" si="41"/>
        <v>-0.2891564476</v>
      </c>
      <c r="AX21" s="4">
        <f t="shared" si="41"/>
        <v>-0.2891564476</v>
      </c>
      <c r="AY21" s="4">
        <f t="shared" si="41"/>
        <v>4.583437308</v>
      </c>
      <c r="AZ21" s="4">
        <f t="shared" si="41"/>
        <v>0.006152264844</v>
      </c>
      <c r="BA21" s="4">
        <f t="shared" si="41"/>
        <v>0.3014609773</v>
      </c>
      <c r="BB21" s="4">
        <f t="shared" ref="BB21:BY21" si="42">IF(AD21&gt;=1,1,0)
</f>
        <v>0</v>
      </c>
      <c r="BC21" s="4">
        <f t="shared" si="42"/>
        <v>0</v>
      </c>
      <c r="BD21" s="4">
        <f t="shared" si="42"/>
        <v>0</v>
      </c>
      <c r="BE21" s="4">
        <f t="shared" si="42"/>
        <v>0</v>
      </c>
      <c r="BF21" s="4">
        <f t="shared" si="42"/>
        <v>0</v>
      </c>
      <c r="BG21" s="4">
        <f t="shared" si="42"/>
        <v>0</v>
      </c>
      <c r="BH21" s="4">
        <f t="shared" si="42"/>
        <v>0</v>
      </c>
      <c r="BI21" s="4">
        <f t="shared" si="42"/>
        <v>0</v>
      </c>
      <c r="BJ21" s="4">
        <f t="shared" si="42"/>
        <v>0</v>
      </c>
      <c r="BK21" s="4">
        <f t="shared" si="42"/>
        <v>0</v>
      </c>
      <c r="BL21" s="4">
        <f t="shared" si="42"/>
        <v>0</v>
      </c>
      <c r="BM21" s="4">
        <f t="shared" si="42"/>
        <v>0</v>
      </c>
      <c r="BN21" s="4">
        <f t="shared" si="42"/>
        <v>0</v>
      </c>
      <c r="BO21" s="4">
        <f t="shared" si="42"/>
        <v>0</v>
      </c>
      <c r="BP21" s="4">
        <f t="shared" si="42"/>
        <v>0</v>
      </c>
      <c r="BQ21" s="4">
        <f t="shared" si="42"/>
        <v>0</v>
      </c>
      <c r="BR21" s="4">
        <f t="shared" si="42"/>
        <v>0</v>
      </c>
      <c r="BS21" s="4">
        <f t="shared" si="42"/>
        <v>0</v>
      </c>
      <c r="BT21" s="4">
        <f t="shared" si="42"/>
        <v>0</v>
      </c>
      <c r="BU21" s="4">
        <f t="shared" si="42"/>
        <v>0</v>
      </c>
      <c r="BV21" s="4">
        <f t="shared" si="42"/>
        <v>0</v>
      </c>
      <c r="BW21" s="4">
        <f t="shared" si="42"/>
        <v>1</v>
      </c>
      <c r="BX21" s="4">
        <f t="shared" si="42"/>
        <v>0</v>
      </c>
      <c r="BY21" s="4">
        <f t="shared" si="42"/>
        <v>0</v>
      </c>
    </row>
    <row r="22">
      <c r="A22" s="1" t="s">
        <v>90</v>
      </c>
      <c r="B22" s="1" t="s">
        <v>75</v>
      </c>
      <c r="C22" s="1" t="s">
        <v>91</v>
      </c>
      <c r="D22" s="1">
        <v>6600.0</v>
      </c>
      <c r="E22" s="1">
        <v>7000.0</v>
      </c>
      <c r="F22" s="1">
        <v>5300.0</v>
      </c>
      <c r="G22" s="1">
        <v>5400.0</v>
      </c>
      <c r="H22" s="1">
        <v>7800.0</v>
      </c>
      <c r="I22" s="1">
        <v>7100.0</v>
      </c>
      <c r="J22" s="1">
        <v>6800.0</v>
      </c>
      <c r="K22" s="1">
        <v>8500.0</v>
      </c>
      <c r="L22" s="1">
        <v>7500.0</v>
      </c>
      <c r="M22" s="1">
        <v>8100.0</v>
      </c>
      <c r="N22" s="1">
        <v>7500.0</v>
      </c>
      <c r="O22" s="1">
        <v>8300.0</v>
      </c>
      <c r="P22" s="1">
        <v>11400.0</v>
      </c>
      <c r="Q22" s="1">
        <v>6600.0</v>
      </c>
      <c r="R22" s="1">
        <v>7400.0</v>
      </c>
      <c r="S22" s="1">
        <v>11700.0</v>
      </c>
      <c r="T22" s="1">
        <v>7700.0</v>
      </c>
      <c r="U22" s="1">
        <v>6700.0</v>
      </c>
      <c r="V22" s="1">
        <v>10900.0</v>
      </c>
      <c r="W22" s="1">
        <v>7500.0</v>
      </c>
      <c r="X22" s="1">
        <v>159700.0</v>
      </c>
      <c r="Y22" s="1">
        <v>38000.0</v>
      </c>
      <c r="Z22" s="1">
        <v>12200.0</v>
      </c>
      <c r="AA22" s="1">
        <v>10900.0</v>
      </c>
      <c r="AB22" s="3">
        <f t="shared" si="3"/>
        <v>15691.66667</v>
      </c>
      <c r="AC22" s="4">
        <f t="shared" si="4"/>
        <v>31330.78659</v>
      </c>
      <c r="AD22" s="4">
        <f t="shared" ref="AD22:BA22" si="43">(D22-$AB22)/$AC22</f>
        <v>-0.2901831603</v>
      </c>
      <c r="AE22" s="4">
        <f t="shared" si="43"/>
        <v>-0.2774161651</v>
      </c>
      <c r="AF22" s="4">
        <f t="shared" si="43"/>
        <v>-0.3316758945</v>
      </c>
      <c r="AG22" s="4">
        <f t="shared" si="43"/>
        <v>-0.3284841457</v>
      </c>
      <c r="AH22" s="4">
        <f t="shared" si="43"/>
        <v>-0.2518821749</v>
      </c>
      <c r="AI22" s="4">
        <f t="shared" si="43"/>
        <v>-0.2742244163</v>
      </c>
      <c r="AJ22" s="4">
        <f t="shared" si="43"/>
        <v>-0.2837996627</v>
      </c>
      <c r="AK22" s="4">
        <f t="shared" si="43"/>
        <v>-0.2295399334</v>
      </c>
      <c r="AL22" s="4">
        <f t="shared" si="43"/>
        <v>-0.2614574212</v>
      </c>
      <c r="AM22" s="4">
        <f t="shared" si="43"/>
        <v>-0.2423069285</v>
      </c>
      <c r="AN22" s="4">
        <f t="shared" si="43"/>
        <v>-0.2614574212</v>
      </c>
      <c r="AO22" s="4">
        <f t="shared" si="43"/>
        <v>-0.2359234309</v>
      </c>
      <c r="AP22" s="4">
        <f t="shared" si="43"/>
        <v>-0.1369792186</v>
      </c>
      <c r="AQ22" s="4">
        <f t="shared" si="43"/>
        <v>-0.2901831603</v>
      </c>
      <c r="AR22" s="4">
        <f t="shared" si="43"/>
        <v>-0.26464917</v>
      </c>
      <c r="AS22" s="4">
        <f t="shared" si="43"/>
        <v>-0.1274039723</v>
      </c>
      <c r="AT22" s="4">
        <f t="shared" si="43"/>
        <v>-0.2550739236</v>
      </c>
      <c r="AU22" s="4">
        <f t="shared" si="43"/>
        <v>-0.2869914115</v>
      </c>
      <c r="AV22" s="4">
        <f t="shared" si="43"/>
        <v>-0.1529379626</v>
      </c>
      <c r="AW22" s="4">
        <f t="shared" si="43"/>
        <v>-0.2614574212</v>
      </c>
      <c r="AX22" s="4">
        <f t="shared" si="43"/>
        <v>4.596384228</v>
      </c>
      <c r="AY22" s="4">
        <f t="shared" si="43"/>
        <v>0.7120259579</v>
      </c>
      <c r="AZ22" s="4">
        <f t="shared" si="43"/>
        <v>-0.1114452284</v>
      </c>
      <c r="BA22" s="4">
        <f t="shared" si="43"/>
        <v>-0.1529379626</v>
      </c>
      <c r="BB22" s="4">
        <f t="shared" ref="BB22:BY22" si="44">IF(AD22&gt;=1,1,0)
</f>
        <v>0</v>
      </c>
      <c r="BC22" s="4">
        <f t="shared" si="44"/>
        <v>0</v>
      </c>
      <c r="BD22" s="4">
        <f t="shared" si="44"/>
        <v>0</v>
      </c>
      <c r="BE22" s="4">
        <f t="shared" si="44"/>
        <v>0</v>
      </c>
      <c r="BF22" s="4">
        <f t="shared" si="44"/>
        <v>0</v>
      </c>
      <c r="BG22" s="4">
        <f t="shared" si="44"/>
        <v>0</v>
      </c>
      <c r="BH22" s="4">
        <f t="shared" si="44"/>
        <v>0</v>
      </c>
      <c r="BI22" s="4">
        <f t="shared" si="44"/>
        <v>0</v>
      </c>
      <c r="BJ22" s="4">
        <f t="shared" si="44"/>
        <v>0</v>
      </c>
      <c r="BK22" s="4">
        <f t="shared" si="44"/>
        <v>0</v>
      </c>
      <c r="BL22" s="4">
        <f t="shared" si="44"/>
        <v>0</v>
      </c>
      <c r="BM22" s="4">
        <f t="shared" si="44"/>
        <v>0</v>
      </c>
      <c r="BN22" s="4">
        <f t="shared" si="44"/>
        <v>0</v>
      </c>
      <c r="BO22" s="4">
        <f t="shared" si="44"/>
        <v>0</v>
      </c>
      <c r="BP22" s="4">
        <f t="shared" si="44"/>
        <v>0</v>
      </c>
      <c r="BQ22" s="4">
        <f t="shared" si="44"/>
        <v>0</v>
      </c>
      <c r="BR22" s="4">
        <f t="shared" si="44"/>
        <v>0</v>
      </c>
      <c r="BS22" s="4">
        <f t="shared" si="44"/>
        <v>0</v>
      </c>
      <c r="BT22" s="4">
        <f t="shared" si="44"/>
        <v>0</v>
      </c>
      <c r="BU22" s="4">
        <f t="shared" si="44"/>
        <v>0</v>
      </c>
      <c r="BV22" s="4">
        <f t="shared" si="44"/>
        <v>1</v>
      </c>
      <c r="BW22" s="4">
        <f t="shared" si="44"/>
        <v>0</v>
      </c>
      <c r="BX22" s="4">
        <f t="shared" si="44"/>
        <v>0</v>
      </c>
      <c r="BY22" s="4">
        <f t="shared" si="44"/>
        <v>0</v>
      </c>
    </row>
    <row r="23">
      <c r="A23" s="1" t="s">
        <v>92</v>
      </c>
      <c r="B23" s="1" t="s">
        <v>72</v>
      </c>
      <c r="C23" s="1" t="s">
        <v>93</v>
      </c>
      <c r="D23" s="1">
        <v>2584100.0</v>
      </c>
      <c r="E23" s="1">
        <v>3477400.0</v>
      </c>
      <c r="F23" s="1">
        <v>2687000.0</v>
      </c>
      <c r="G23" s="1">
        <v>2808600.0</v>
      </c>
      <c r="H23" s="1">
        <v>3247500.0</v>
      </c>
      <c r="I23" s="1">
        <v>2702400.0</v>
      </c>
      <c r="J23" s="1">
        <v>3634800.0</v>
      </c>
      <c r="K23" s="1">
        <v>3727000.0</v>
      </c>
      <c r="L23" s="1">
        <v>3137000.0</v>
      </c>
      <c r="M23" s="1">
        <v>4184200.0</v>
      </c>
      <c r="N23" s="1">
        <v>4030200.0</v>
      </c>
      <c r="O23" s="1">
        <v>4988200.0</v>
      </c>
      <c r="P23" s="1">
        <v>6324800.0</v>
      </c>
      <c r="Q23" s="1">
        <v>3970500.0</v>
      </c>
      <c r="R23" s="1">
        <v>3103100.0</v>
      </c>
      <c r="S23" s="1">
        <v>3175900.0</v>
      </c>
      <c r="T23" s="1">
        <v>2737400.0</v>
      </c>
      <c r="U23" s="1">
        <v>2499600.0</v>
      </c>
      <c r="V23" s="1">
        <v>3632600.0</v>
      </c>
      <c r="W23" s="1">
        <v>3118400.0</v>
      </c>
      <c r="X23" s="1">
        <v>2614100.0</v>
      </c>
      <c r="Y23" s="1">
        <v>3726600.0</v>
      </c>
      <c r="Z23" s="1">
        <v>3084400.0</v>
      </c>
      <c r="AA23" s="1">
        <v>2691300.0</v>
      </c>
      <c r="AB23" s="3">
        <f t="shared" si="3"/>
        <v>3411962.5</v>
      </c>
      <c r="AC23" s="4">
        <f t="shared" si="4"/>
        <v>873016.396</v>
      </c>
      <c r="AD23" s="4">
        <f t="shared" ref="AD23:BA23" si="45">(D23-$AB23)/$AC23</f>
        <v>-0.9482782956</v>
      </c>
      <c r="AE23" s="4">
        <f t="shared" si="45"/>
        <v>0.07495563692</v>
      </c>
      <c r="AF23" s="4">
        <f t="shared" si="45"/>
        <v>-0.8304110935</v>
      </c>
      <c r="AG23" s="4">
        <f t="shared" si="45"/>
        <v>-0.6911239042</v>
      </c>
      <c r="AH23" s="4">
        <f t="shared" si="45"/>
        <v>-0.1883842053</v>
      </c>
      <c r="AI23" s="4">
        <f t="shared" si="45"/>
        <v>-0.812771104</v>
      </c>
      <c r="AJ23" s="4">
        <f t="shared" si="45"/>
        <v>0.2552500744</v>
      </c>
      <c r="AK23" s="4">
        <f t="shared" si="45"/>
        <v>0.3608609202</v>
      </c>
      <c r="AL23" s="4">
        <f t="shared" si="45"/>
        <v>-0.3149568568</v>
      </c>
      <c r="AM23" s="4">
        <f t="shared" si="45"/>
        <v>0.8845624247</v>
      </c>
      <c r="AN23" s="4">
        <f t="shared" si="45"/>
        <v>0.7081625303</v>
      </c>
      <c r="AO23" s="4">
        <f t="shared" si="45"/>
        <v>1.805507328</v>
      </c>
      <c r="AP23" s="4">
        <f t="shared" si="45"/>
        <v>3.336520956</v>
      </c>
      <c r="AQ23" s="4">
        <f t="shared" si="45"/>
        <v>0.6397789349</v>
      </c>
      <c r="AR23" s="4">
        <f t="shared" si="45"/>
        <v>-0.3537877426</v>
      </c>
      <c r="AS23" s="4">
        <f t="shared" si="45"/>
        <v>-0.2703987017</v>
      </c>
      <c r="AT23" s="4">
        <f t="shared" si="45"/>
        <v>-0.772680219</v>
      </c>
      <c r="AU23" s="4">
        <f t="shared" si="45"/>
        <v>-1.045069147</v>
      </c>
      <c r="AV23" s="4">
        <f t="shared" si="45"/>
        <v>0.2527300759</v>
      </c>
      <c r="AW23" s="4">
        <f t="shared" si="45"/>
        <v>-0.3362622986</v>
      </c>
      <c r="AX23" s="4">
        <f t="shared" si="45"/>
        <v>-0.9139146798</v>
      </c>
      <c r="AY23" s="4">
        <f t="shared" si="45"/>
        <v>0.3604027386</v>
      </c>
      <c r="AZ23" s="4">
        <f t="shared" si="45"/>
        <v>-0.3752077298</v>
      </c>
      <c r="BA23" s="4">
        <f t="shared" si="45"/>
        <v>-0.8254856419</v>
      </c>
      <c r="BB23" s="4">
        <f t="shared" ref="BB23:BY23" si="46">IF(AD23&gt;=1,1,0)
</f>
        <v>0</v>
      </c>
      <c r="BC23" s="4">
        <f t="shared" si="46"/>
        <v>0</v>
      </c>
      <c r="BD23" s="4">
        <f t="shared" si="46"/>
        <v>0</v>
      </c>
      <c r="BE23" s="4">
        <f t="shared" si="46"/>
        <v>0</v>
      </c>
      <c r="BF23" s="4">
        <f t="shared" si="46"/>
        <v>0</v>
      </c>
      <c r="BG23" s="4">
        <f t="shared" si="46"/>
        <v>0</v>
      </c>
      <c r="BH23" s="4">
        <f t="shared" si="46"/>
        <v>0</v>
      </c>
      <c r="BI23" s="4">
        <f t="shared" si="46"/>
        <v>0</v>
      </c>
      <c r="BJ23" s="4">
        <f t="shared" si="46"/>
        <v>0</v>
      </c>
      <c r="BK23" s="4">
        <f t="shared" si="46"/>
        <v>0</v>
      </c>
      <c r="BL23" s="4">
        <f t="shared" si="46"/>
        <v>0</v>
      </c>
      <c r="BM23" s="4">
        <f t="shared" si="46"/>
        <v>1</v>
      </c>
      <c r="BN23" s="4">
        <f t="shared" si="46"/>
        <v>1</v>
      </c>
      <c r="BO23" s="4">
        <f t="shared" si="46"/>
        <v>0</v>
      </c>
      <c r="BP23" s="4">
        <f t="shared" si="46"/>
        <v>0</v>
      </c>
      <c r="BQ23" s="4">
        <f t="shared" si="46"/>
        <v>0</v>
      </c>
      <c r="BR23" s="4">
        <f t="shared" si="46"/>
        <v>0</v>
      </c>
      <c r="BS23" s="4">
        <f t="shared" si="46"/>
        <v>0</v>
      </c>
      <c r="BT23" s="4">
        <f t="shared" si="46"/>
        <v>0</v>
      </c>
      <c r="BU23" s="4">
        <f t="shared" si="46"/>
        <v>0</v>
      </c>
      <c r="BV23" s="4">
        <f t="shared" si="46"/>
        <v>0</v>
      </c>
      <c r="BW23" s="4">
        <f t="shared" si="46"/>
        <v>0</v>
      </c>
      <c r="BX23" s="4">
        <f t="shared" si="46"/>
        <v>0</v>
      </c>
      <c r="BY23" s="4">
        <f t="shared" si="46"/>
        <v>0</v>
      </c>
    </row>
    <row r="24">
      <c r="A24" s="1" t="s">
        <v>94</v>
      </c>
      <c r="B24" s="1" t="s">
        <v>79</v>
      </c>
      <c r="C24" s="1" t="s">
        <v>79</v>
      </c>
      <c r="D24" s="1">
        <v>5000.0</v>
      </c>
      <c r="E24" s="1">
        <v>9900.0</v>
      </c>
      <c r="F24" s="1">
        <v>8000.0</v>
      </c>
      <c r="G24" s="1">
        <v>8900.0</v>
      </c>
      <c r="H24" s="1">
        <v>12700.0</v>
      </c>
      <c r="I24" s="1">
        <v>8900.0</v>
      </c>
      <c r="J24" s="1">
        <v>10600.0</v>
      </c>
      <c r="K24" s="1">
        <v>13900.0</v>
      </c>
      <c r="L24" s="1">
        <v>10400.0</v>
      </c>
      <c r="M24" s="1">
        <v>14600.0</v>
      </c>
      <c r="N24" s="1">
        <v>14100.0</v>
      </c>
      <c r="O24" s="1">
        <v>14900.0</v>
      </c>
      <c r="P24" s="1">
        <v>23900.0</v>
      </c>
      <c r="Q24" s="1">
        <v>14500.0</v>
      </c>
      <c r="R24" s="1">
        <v>12900.0</v>
      </c>
      <c r="S24" s="1">
        <v>21700.0</v>
      </c>
      <c r="T24" s="1">
        <v>15000.0</v>
      </c>
      <c r="U24" s="1">
        <v>17700.0</v>
      </c>
      <c r="V24" s="1">
        <v>20300.0</v>
      </c>
      <c r="W24" s="1">
        <v>14800.0</v>
      </c>
      <c r="X24" s="1">
        <v>11500.0</v>
      </c>
      <c r="Y24" s="1">
        <v>13300.0</v>
      </c>
      <c r="Z24" s="1">
        <v>12000.0</v>
      </c>
      <c r="AA24" s="1">
        <v>9800.0</v>
      </c>
      <c r="AB24" s="3">
        <f t="shared" si="3"/>
        <v>13304.16667</v>
      </c>
      <c r="AC24" s="4">
        <f t="shared" si="4"/>
        <v>4392.531128</v>
      </c>
      <c r="AD24" s="4">
        <f t="shared" ref="AD24:BA24" si="47">(D24-$AB24)/$AC24</f>
        <v>-1.890519708</v>
      </c>
      <c r="AE24" s="4">
        <f t="shared" si="47"/>
        <v>-0.774989765</v>
      </c>
      <c r="AF24" s="4">
        <f t="shared" si="47"/>
        <v>-1.207542192</v>
      </c>
      <c r="AG24" s="4">
        <f t="shared" si="47"/>
        <v>-1.002648937</v>
      </c>
      <c r="AH24" s="4">
        <f t="shared" si="47"/>
        <v>-0.1375440831</v>
      </c>
      <c r="AI24" s="4">
        <f t="shared" si="47"/>
        <v>-1.002648937</v>
      </c>
      <c r="AJ24" s="4">
        <f t="shared" si="47"/>
        <v>-0.6156283445</v>
      </c>
      <c r="AK24" s="4">
        <f t="shared" si="47"/>
        <v>0.1356469234</v>
      </c>
      <c r="AL24" s="4">
        <f t="shared" si="47"/>
        <v>-0.661160179</v>
      </c>
      <c r="AM24" s="4">
        <f t="shared" si="47"/>
        <v>0.2950083438</v>
      </c>
      <c r="AN24" s="4">
        <f t="shared" si="47"/>
        <v>0.1811787578</v>
      </c>
      <c r="AO24" s="4">
        <f t="shared" si="47"/>
        <v>0.3633060955</v>
      </c>
      <c r="AP24" s="4">
        <f t="shared" si="47"/>
        <v>2.412238644</v>
      </c>
      <c r="AQ24" s="4">
        <f t="shared" si="47"/>
        <v>0.2722424266</v>
      </c>
      <c r="AR24" s="4">
        <f t="shared" si="47"/>
        <v>-0.09201224872</v>
      </c>
      <c r="AS24" s="4">
        <f t="shared" si="47"/>
        <v>1.911388466</v>
      </c>
      <c r="AT24" s="4">
        <f t="shared" si="47"/>
        <v>0.3860720127</v>
      </c>
      <c r="AU24" s="4">
        <f t="shared" si="47"/>
        <v>1.000751777</v>
      </c>
      <c r="AV24" s="4">
        <f t="shared" si="47"/>
        <v>1.592665625</v>
      </c>
      <c r="AW24" s="4">
        <f t="shared" si="47"/>
        <v>0.3405401783</v>
      </c>
      <c r="AX24" s="4">
        <f t="shared" si="47"/>
        <v>-0.4107350897</v>
      </c>
      <c r="AY24" s="4">
        <f t="shared" si="47"/>
        <v>-0.0009485798837</v>
      </c>
      <c r="AZ24" s="4">
        <f t="shared" si="47"/>
        <v>-0.2969055036</v>
      </c>
      <c r="BA24" s="4">
        <f t="shared" si="47"/>
        <v>-0.7977556822</v>
      </c>
      <c r="BB24" s="4">
        <f t="shared" ref="BB24:BY24" si="48">IF(AD24&gt;=1,1,0)
</f>
        <v>0</v>
      </c>
      <c r="BC24" s="4">
        <f t="shared" si="48"/>
        <v>0</v>
      </c>
      <c r="BD24" s="4">
        <f t="shared" si="48"/>
        <v>0</v>
      </c>
      <c r="BE24" s="4">
        <f t="shared" si="48"/>
        <v>0</v>
      </c>
      <c r="BF24" s="4">
        <f t="shared" si="48"/>
        <v>0</v>
      </c>
      <c r="BG24" s="4">
        <f t="shared" si="48"/>
        <v>0</v>
      </c>
      <c r="BH24" s="4">
        <f t="shared" si="48"/>
        <v>0</v>
      </c>
      <c r="BI24" s="4">
        <f t="shared" si="48"/>
        <v>0</v>
      </c>
      <c r="BJ24" s="4">
        <f t="shared" si="48"/>
        <v>0</v>
      </c>
      <c r="BK24" s="4">
        <f t="shared" si="48"/>
        <v>0</v>
      </c>
      <c r="BL24" s="4">
        <f t="shared" si="48"/>
        <v>0</v>
      </c>
      <c r="BM24" s="4">
        <f t="shared" si="48"/>
        <v>0</v>
      </c>
      <c r="BN24" s="4">
        <f t="shared" si="48"/>
        <v>1</v>
      </c>
      <c r="BO24" s="4">
        <f t="shared" si="48"/>
        <v>0</v>
      </c>
      <c r="BP24" s="4">
        <f t="shared" si="48"/>
        <v>0</v>
      </c>
      <c r="BQ24" s="4">
        <f t="shared" si="48"/>
        <v>1</v>
      </c>
      <c r="BR24" s="4">
        <f t="shared" si="48"/>
        <v>0</v>
      </c>
      <c r="BS24" s="4">
        <f t="shared" si="48"/>
        <v>1</v>
      </c>
      <c r="BT24" s="4">
        <f t="shared" si="48"/>
        <v>1</v>
      </c>
      <c r="BU24" s="4">
        <f t="shared" si="48"/>
        <v>0</v>
      </c>
      <c r="BV24" s="4">
        <f t="shared" si="48"/>
        <v>0</v>
      </c>
      <c r="BW24" s="4">
        <f t="shared" si="48"/>
        <v>0</v>
      </c>
      <c r="BX24" s="4">
        <f t="shared" si="48"/>
        <v>0</v>
      </c>
      <c r="BY24" s="4">
        <f t="shared" si="48"/>
        <v>0</v>
      </c>
    </row>
    <row r="25">
      <c r="A25" s="1" t="s">
        <v>95</v>
      </c>
      <c r="B25" s="1" t="s">
        <v>54</v>
      </c>
      <c r="C25" s="1" t="s">
        <v>96</v>
      </c>
      <c r="D25" s="1">
        <v>46000.0</v>
      </c>
      <c r="E25" s="1">
        <v>75300.0</v>
      </c>
      <c r="F25" s="1">
        <v>56000.0</v>
      </c>
      <c r="G25" s="1">
        <v>57600.0</v>
      </c>
      <c r="H25" s="1">
        <v>58600.0</v>
      </c>
      <c r="I25" s="1">
        <v>384900.0</v>
      </c>
      <c r="J25" s="1">
        <v>114800.0</v>
      </c>
      <c r="K25" s="1">
        <v>55400.0</v>
      </c>
      <c r="L25" s="1">
        <v>76200.0</v>
      </c>
      <c r="M25" s="1">
        <v>135300.0</v>
      </c>
      <c r="N25" s="1">
        <v>60200.0</v>
      </c>
      <c r="O25" s="1">
        <v>38400.0</v>
      </c>
      <c r="P25" s="1">
        <v>81100.0</v>
      </c>
      <c r="Q25" s="1">
        <v>58900.0</v>
      </c>
      <c r="R25" s="1">
        <v>174400.0</v>
      </c>
      <c r="S25" s="1">
        <v>67100.0</v>
      </c>
      <c r="T25" s="1">
        <v>46700.0</v>
      </c>
      <c r="U25" s="1">
        <v>133400.0</v>
      </c>
      <c r="V25" s="1">
        <v>166700.0</v>
      </c>
      <c r="W25" s="1">
        <v>52400.0</v>
      </c>
      <c r="X25" s="1">
        <v>34100.0</v>
      </c>
      <c r="Y25" s="1">
        <v>37100.0</v>
      </c>
      <c r="Z25" s="1">
        <v>24300.0</v>
      </c>
      <c r="AA25" s="1">
        <v>29200.0</v>
      </c>
      <c r="AB25" s="3">
        <f t="shared" si="3"/>
        <v>86004.16667</v>
      </c>
      <c r="AC25" s="4">
        <f t="shared" si="4"/>
        <v>76105.64442</v>
      </c>
      <c r="AD25" s="4">
        <f t="shared" ref="AD25:BA25" si="49">(D25-$AB25)/$AC25</f>
        <v>-0.525639944</v>
      </c>
      <c r="AE25" s="4">
        <f t="shared" si="49"/>
        <v>-0.1406487883</v>
      </c>
      <c r="AF25" s="4">
        <f t="shared" si="49"/>
        <v>-0.3942436451</v>
      </c>
      <c r="AG25" s="4">
        <f t="shared" si="49"/>
        <v>-0.3732202373</v>
      </c>
      <c r="AH25" s="4">
        <f t="shared" si="49"/>
        <v>-0.3600806074</v>
      </c>
      <c r="AI25" s="4">
        <f t="shared" si="49"/>
        <v>3.927380625</v>
      </c>
      <c r="AJ25" s="4">
        <f t="shared" si="49"/>
        <v>0.3783665923</v>
      </c>
      <c r="AK25" s="4">
        <f t="shared" si="49"/>
        <v>-0.402127423</v>
      </c>
      <c r="AL25" s="4">
        <f t="shared" si="49"/>
        <v>-0.1288231214</v>
      </c>
      <c r="AM25" s="4">
        <f t="shared" si="49"/>
        <v>0.647729005</v>
      </c>
      <c r="AN25" s="4">
        <f t="shared" si="49"/>
        <v>-0.3390571996</v>
      </c>
      <c r="AO25" s="4">
        <f t="shared" si="49"/>
        <v>-0.6255011311</v>
      </c>
      <c r="AP25" s="4">
        <f t="shared" si="49"/>
        <v>-0.06443893491</v>
      </c>
      <c r="AQ25" s="4">
        <f t="shared" si="49"/>
        <v>-0.3561387184</v>
      </c>
      <c r="AR25" s="4">
        <f t="shared" si="49"/>
        <v>1.161488534</v>
      </c>
      <c r="AS25" s="4">
        <f t="shared" si="49"/>
        <v>-0.2483937533</v>
      </c>
      <c r="AT25" s="4">
        <f t="shared" si="49"/>
        <v>-0.516442203</v>
      </c>
      <c r="AU25" s="4">
        <f t="shared" si="49"/>
        <v>0.6227637082</v>
      </c>
      <c r="AV25" s="4">
        <f t="shared" si="49"/>
        <v>1.060313383</v>
      </c>
      <c r="AW25" s="4">
        <f t="shared" si="49"/>
        <v>-0.4415463127</v>
      </c>
      <c r="AX25" s="4">
        <f t="shared" si="49"/>
        <v>-0.6820015396</v>
      </c>
      <c r="AY25" s="4">
        <f t="shared" si="49"/>
        <v>-0.64258265</v>
      </c>
      <c r="AZ25" s="4">
        <f t="shared" si="49"/>
        <v>-0.8107699125</v>
      </c>
      <c r="BA25" s="4">
        <f t="shared" si="49"/>
        <v>-0.7463857261</v>
      </c>
      <c r="BB25" s="4">
        <f t="shared" ref="BB25:BY25" si="50">IF(AD25&gt;=1,1,0)
</f>
        <v>0</v>
      </c>
      <c r="BC25" s="4">
        <f t="shared" si="50"/>
        <v>0</v>
      </c>
      <c r="BD25" s="4">
        <f t="shared" si="50"/>
        <v>0</v>
      </c>
      <c r="BE25" s="4">
        <f t="shared" si="50"/>
        <v>0</v>
      </c>
      <c r="BF25" s="4">
        <f t="shared" si="50"/>
        <v>0</v>
      </c>
      <c r="BG25" s="4">
        <f t="shared" si="50"/>
        <v>1</v>
      </c>
      <c r="BH25" s="4">
        <f t="shared" si="50"/>
        <v>0</v>
      </c>
      <c r="BI25" s="4">
        <f t="shared" si="50"/>
        <v>0</v>
      </c>
      <c r="BJ25" s="4">
        <f t="shared" si="50"/>
        <v>0</v>
      </c>
      <c r="BK25" s="4">
        <f t="shared" si="50"/>
        <v>0</v>
      </c>
      <c r="BL25" s="4">
        <f t="shared" si="50"/>
        <v>0</v>
      </c>
      <c r="BM25" s="4">
        <f t="shared" si="50"/>
        <v>0</v>
      </c>
      <c r="BN25" s="4">
        <f t="shared" si="50"/>
        <v>0</v>
      </c>
      <c r="BO25" s="4">
        <f t="shared" si="50"/>
        <v>0</v>
      </c>
      <c r="BP25" s="4">
        <f t="shared" si="50"/>
        <v>1</v>
      </c>
      <c r="BQ25" s="4">
        <f t="shared" si="50"/>
        <v>0</v>
      </c>
      <c r="BR25" s="4">
        <f t="shared" si="50"/>
        <v>0</v>
      </c>
      <c r="BS25" s="4">
        <f t="shared" si="50"/>
        <v>0</v>
      </c>
      <c r="BT25" s="4">
        <f t="shared" si="50"/>
        <v>1</v>
      </c>
      <c r="BU25" s="4">
        <f t="shared" si="50"/>
        <v>0</v>
      </c>
      <c r="BV25" s="4">
        <f t="shared" si="50"/>
        <v>0</v>
      </c>
      <c r="BW25" s="4">
        <f t="shared" si="50"/>
        <v>0</v>
      </c>
      <c r="BX25" s="4">
        <f t="shared" si="50"/>
        <v>0</v>
      </c>
      <c r="BY25" s="4">
        <f t="shared" si="50"/>
        <v>0</v>
      </c>
    </row>
    <row r="26">
      <c r="A26" s="1" t="s">
        <v>97</v>
      </c>
      <c r="B26" s="1" t="s">
        <v>79</v>
      </c>
      <c r="C26" s="1" t="s">
        <v>79</v>
      </c>
      <c r="D26" s="1">
        <v>100.0</v>
      </c>
      <c r="E26" s="1">
        <v>400.0</v>
      </c>
      <c r="F26" s="1">
        <v>100.0</v>
      </c>
      <c r="G26" s="1">
        <v>300.0</v>
      </c>
      <c r="H26" s="1">
        <v>400.0</v>
      </c>
      <c r="I26" s="1">
        <v>100.0</v>
      </c>
      <c r="J26" s="1">
        <v>600.0</v>
      </c>
      <c r="K26" s="1">
        <v>200.0</v>
      </c>
      <c r="L26" s="1">
        <v>200.0</v>
      </c>
      <c r="M26" s="1">
        <v>400.0</v>
      </c>
      <c r="N26" s="1">
        <v>100.0</v>
      </c>
      <c r="O26" s="1">
        <v>600.0</v>
      </c>
      <c r="P26" s="1">
        <v>800.0</v>
      </c>
      <c r="Q26" s="1">
        <v>100.0</v>
      </c>
      <c r="R26" s="1">
        <v>400.0</v>
      </c>
      <c r="S26" s="1">
        <v>1200.0</v>
      </c>
      <c r="T26" s="1">
        <v>300.0</v>
      </c>
      <c r="U26" s="1">
        <v>300.0</v>
      </c>
      <c r="V26" s="1">
        <v>100.0</v>
      </c>
      <c r="W26" s="1">
        <v>900.0</v>
      </c>
      <c r="X26" s="1">
        <v>1000.0</v>
      </c>
      <c r="Y26" s="1">
        <v>800.0</v>
      </c>
      <c r="Z26" s="1">
        <v>500.0</v>
      </c>
      <c r="AA26" s="1">
        <v>700.0</v>
      </c>
      <c r="AB26" s="3">
        <f t="shared" si="3"/>
        <v>441.6666667</v>
      </c>
      <c r="AC26" s="4">
        <f t="shared" si="4"/>
        <v>320.2127916</v>
      </c>
      <c r="AD26" s="4">
        <f t="shared" ref="AD26:BA26" si="51">(D26-$AB26)/$AC26</f>
        <v>-1.066998807</v>
      </c>
      <c r="AE26" s="4">
        <f t="shared" si="51"/>
        <v>-0.1301218058</v>
      </c>
      <c r="AF26" s="4">
        <f t="shared" si="51"/>
        <v>-1.066998807</v>
      </c>
      <c r="AG26" s="4">
        <f t="shared" si="51"/>
        <v>-0.4424141396</v>
      </c>
      <c r="AH26" s="4">
        <f t="shared" si="51"/>
        <v>-0.1301218058</v>
      </c>
      <c r="AI26" s="4">
        <f t="shared" si="51"/>
        <v>-1.066998807</v>
      </c>
      <c r="AJ26" s="4">
        <f t="shared" si="51"/>
        <v>0.4944628619</v>
      </c>
      <c r="AK26" s="4">
        <f t="shared" si="51"/>
        <v>-0.7547064734</v>
      </c>
      <c r="AL26" s="4">
        <f t="shared" si="51"/>
        <v>-0.7547064734</v>
      </c>
      <c r="AM26" s="4">
        <f t="shared" si="51"/>
        <v>-0.1301218058</v>
      </c>
      <c r="AN26" s="4">
        <f t="shared" si="51"/>
        <v>-1.066998807</v>
      </c>
      <c r="AO26" s="4">
        <f t="shared" si="51"/>
        <v>0.4944628619</v>
      </c>
      <c r="AP26" s="4">
        <f t="shared" si="51"/>
        <v>1.11904753</v>
      </c>
      <c r="AQ26" s="4">
        <f t="shared" si="51"/>
        <v>-1.066998807</v>
      </c>
      <c r="AR26" s="4">
        <f t="shared" si="51"/>
        <v>-0.1301218058</v>
      </c>
      <c r="AS26" s="4">
        <f t="shared" si="51"/>
        <v>2.368216865</v>
      </c>
      <c r="AT26" s="4">
        <f t="shared" si="51"/>
        <v>-0.4424141396</v>
      </c>
      <c r="AU26" s="4">
        <f t="shared" si="51"/>
        <v>-0.4424141396</v>
      </c>
      <c r="AV26" s="4">
        <f t="shared" si="51"/>
        <v>-1.066998807</v>
      </c>
      <c r="AW26" s="4">
        <f t="shared" si="51"/>
        <v>1.431339863</v>
      </c>
      <c r="AX26" s="4">
        <f t="shared" si="51"/>
        <v>1.743632197</v>
      </c>
      <c r="AY26" s="4">
        <f t="shared" si="51"/>
        <v>1.11904753</v>
      </c>
      <c r="AZ26" s="4">
        <f t="shared" si="51"/>
        <v>0.1821705281</v>
      </c>
      <c r="BA26" s="4">
        <f t="shared" si="51"/>
        <v>0.8067551957</v>
      </c>
      <c r="BB26" s="4">
        <f t="shared" ref="BB26:BY26" si="52">IF(AD26&gt;=1,1,0)
</f>
        <v>0</v>
      </c>
      <c r="BC26" s="4">
        <f t="shared" si="52"/>
        <v>0</v>
      </c>
      <c r="BD26" s="4">
        <f t="shared" si="52"/>
        <v>0</v>
      </c>
      <c r="BE26" s="4">
        <f t="shared" si="52"/>
        <v>0</v>
      </c>
      <c r="BF26" s="4">
        <f t="shared" si="52"/>
        <v>0</v>
      </c>
      <c r="BG26" s="4">
        <f t="shared" si="52"/>
        <v>0</v>
      </c>
      <c r="BH26" s="4">
        <f t="shared" si="52"/>
        <v>0</v>
      </c>
      <c r="BI26" s="4">
        <f t="shared" si="52"/>
        <v>0</v>
      </c>
      <c r="BJ26" s="4">
        <f t="shared" si="52"/>
        <v>0</v>
      </c>
      <c r="BK26" s="4">
        <f t="shared" si="52"/>
        <v>0</v>
      </c>
      <c r="BL26" s="4">
        <f t="shared" si="52"/>
        <v>0</v>
      </c>
      <c r="BM26" s="4">
        <f t="shared" si="52"/>
        <v>0</v>
      </c>
      <c r="BN26" s="4">
        <f t="shared" si="52"/>
        <v>1</v>
      </c>
      <c r="BO26" s="4">
        <f t="shared" si="52"/>
        <v>0</v>
      </c>
      <c r="BP26" s="4">
        <f t="shared" si="52"/>
        <v>0</v>
      </c>
      <c r="BQ26" s="4">
        <f t="shared" si="52"/>
        <v>1</v>
      </c>
      <c r="BR26" s="4">
        <f t="shared" si="52"/>
        <v>0</v>
      </c>
      <c r="BS26" s="4">
        <f t="shared" si="52"/>
        <v>0</v>
      </c>
      <c r="BT26" s="4">
        <f t="shared" si="52"/>
        <v>0</v>
      </c>
      <c r="BU26" s="4">
        <f t="shared" si="52"/>
        <v>1</v>
      </c>
      <c r="BV26" s="4">
        <f t="shared" si="52"/>
        <v>1</v>
      </c>
      <c r="BW26" s="4">
        <f t="shared" si="52"/>
        <v>1</v>
      </c>
      <c r="BX26" s="4">
        <f t="shared" si="52"/>
        <v>0</v>
      </c>
      <c r="BY26" s="4">
        <f t="shared" si="52"/>
        <v>0</v>
      </c>
    </row>
    <row r="27">
      <c r="A27" s="1" t="s">
        <v>98</v>
      </c>
      <c r="B27" s="1" t="s">
        <v>79</v>
      </c>
      <c r="C27" s="1" t="s">
        <v>79</v>
      </c>
      <c r="D27" s="1">
        <v>1800.0</v>
      </c>
      <c r="E27" s="1">
        <v>3800.0</v>
      </c>
      <c r="F27" s="1">
        <v>3600.0</v>
      </c>
      <c r="G27" s="1">
        <v>1700.0</v>
      </c>
      <c r="H27" s="1">
        <v>4000.0</v>
      </c>
      <c r="I27" s="1">
        <v>2000.0</v>
      </c>
      <c r="J27" s="1">
        <v>1800.0</v>
      </c>
      <c r="K27" s="1">
        <v>3300.0</v>
      </c>
      <c r="L27" s="1">
        <v>2300.0</v>
      </c>
      <c r="M27" s="1">
        <v>2400.0</v>
      </c>
      <c r="N27" s="1">
        <v>3800.0</v>
      </c>
      <c r="O27" s="1">
        <v>2600.0</v>
      </c>
      <c r="P27" s="1">
        <v>4000.0</v>
      </c>
      <c r="Q27" s="1">
        <v>2200.0</v>
      </c>
      <c r="R27" s="1">
        <v>2400.0</v>
      </c>
      <c r="S27" s="1">
        <v>4600.0</v>
      </c>
      <c r="T27" s="1">
        <v>2800.0</v>
      </c>
      <c r="U27" s="1">
        <v>3400.0</v>
      </c>
      <c r="V27" s="1">
        <v>5700.0</v>
      </c>
      <c r="W27" s="1">
        <v>2100.0</v>
      </c>
      <c r="X27" s="1">
        <v>4700.0</v>
      </c>
      <c r="Y27" s="1">
        <v>4700.0</v>
      </c>
      <c r="Z27" s="1">
        <v>2400.0</v>
      </c>
      <c r="AA27" s="1">
        <v>3000.0</v>
      </c>
      <c r="AB27" s="3">
        <f t="shared" si="3"/>
        <v>3129.166667</v>
      </c>
      <c r="AC27" s="4">
        <f t="shared" si="4"/>
        <v>1101.57167</v>
      </c>
      <c r="AD27" s="4">
        <f t="shared" ref="AD27:BA27" si="53">(D27-$AB27)/$AC27</f>
        <v>-1.20660934</v>
      </c>
      <c r="AE27" s="4">
        <f t="shared" si="53"/>
        <v>0.6089783819</v>
      </c>
      <c r="AF27" s="4">
        <f t="shared" si="53"/>
        <v>0.4274196096</v>
      </c>
      <c r="AG27" s="4">
        <f t="shared" si="53"/>
        <v>-1.297388727</v>
      </c>
      <c r="AH27" s="4">
        <f t="shared" si="53"/>
        <v>0.7905371541</v>
      </c>
      <c r="AI27" s="4">
        <f t="shared" si="53"/>
        <v>-1.025050568</v>
      </c>
      <c r="AJ27" s="4">
        <f t="shared" si="53"/>
        <v>-1.20660934</v>
      </c>
      <c r="AK27" s="4">
        <f t="shared" si="53"/>
        <v>0.1550814513</v>
      </c>
      <c r="AL27" s="4">
        <f t="shared" si="53"/>
        <v>-0.7527124099</v>
      </c>
      <c r="AM27" s="4">
        <f t="shared" si="53"/>
        <v>-0.6619330238</v>
      </c>
      <c r="AN27" s="4">
        <f t="shared" si="53"/>
        <v>0.6089783819</v>
      </c>
      <c r="AO27" s="4">
        <f t="shared" si="53"/>
        <v>-0.4803742515</v>
      </c>
      <c r="AP27" s="4">
        <f t="shared" si="53"/>
        <v>0.7905371541</v>
      </c>
      <c r="AQ27" s="4">
        <f t="shared" si="53"/>
        <v>-0.843491796</v>
      </c>
      <c r="AR27" s="4">
        <f t="shared" si="53"/>
        <v>-0.6619330238</v>
      </c>
      <c r="AS27" s="4">
        <f t="shared" si="53"/>
        <v>1.335213471</v>
      </c>
      <c r="AT27" s="4">
        <f t="shared" si="53"/>
        <v>-0.2988154793</v>
      </c>
      <c r="AU27" s="4">
        <f t="shared" si="53"/>
        <v>0.2458608374</v>
      </c>
      <c r="AV27" s="4">
        <f t="shared" si="53"/>
        <v>2.333786718</v>
      </c>
      <c r="AW27" s="4">
        <f t="shared" si="53"/>
        <v>-0.9342711821</v>
      </c>
      <c r="AX27" s="4">
        <f t="shared" si="53"/>
        <v>1.425992857</v>
      </c>
      <c r="AY27" s="4">
        <f t="shared" si="53"/>
        <v>1.425992857</v>
      </c>
      <c r="AZ27" s="4">
        <f t="shared" si="53"/>
        <v>-0.6619330238</v>
      </c>
      <c r="BA27" s="4">
        <f t="shared" si="53"/>
        <v>-0.1172567071</v>
      </c>
      <c r="BB27" s="4">
        <f t="shared" ref="BB27:BY27" si="54">IF(AD27&gt;=1,1,0)
</f>
        <v>0</v>
      </c>
      <c r="BC27" s="4">
        <f t="shared" si="54"/>
        <v>0</v>
      </c>
      <c r="BD27" s="4">
        <f t="shared" si="54"/>
        <v>0</v>
      </c>
      <c r="BE27" s="4">
        <f t="shared" si="54"/>
        <v>0</v>
      </c>
      <c r="BF27" s="4">
        <f t="shared" si="54"/>
        <v>0</v>
      </c>
      <c r="BG27" s="4">
        <f t="shared" si="54"/>
        <v>0</v>
      </c>
      <c r="BH27" s="4">
        <f t="shared" si="54"/>
        <v>0</v>
      </c>
      <c r="BI27" s="4">
        <f t="shared" si="54"/>
        <v>0</v>
      </c>
      <c r="BJ27" s="4">
        <f t="shared" si="54"/>
        <v>0</v>
      </c>
      <c r="BK27" s="4">
        <f t="shared" si="54"/>
        <v>0</v>
      </c>
      <c r="BL27" s="4">
        <f t="shared" si="54"/>
        <v>0</v>
      </c>
      <c r="BM27" s="4">
        <f t="shared" si="54"/>
        <v>0</v>
      </c>
      <c r="BN27" s="4">
        <f t="shared" si="54"/>
        <v>0</v>
      </c>
      <c r="BO27" s="4">
        <f t="shared" si="54"/>
        <v>0</v>
      </c>
      <c r="BP27" s="4">
        <f t="shared" si="54"/>
        <v>0</v>
      </c>
      <c r="BQ27" s="4">
        <f t="shared" si="54"/>
        <v>1</v>
      </c>
      <c r="BR27" s="4">
        <f t="shared" si="54"/>
        <v>0</v>
      </c>
      <c r="BS27" s="4">
        <f t="shared" si="54"/>
        <v>0</v>
      </c>
      <c r="BT27" s="4">
        <f t="shared" si="54"/>
        <v>1</v>
      </c>
      <c r="BU27" s="4">
        <f t="shared" si="54"/>
        <v>0</v>
      </c>
      <c r="BV27" s="4">
        <f t="shared" si="54"/>
        <v>1</v>
      </c>
      <c r="BW27" s="4">
        <f t="shared" si="54"/>
        <v>1</v>
      </c>
      <c r="BX27" s="4">
        <f t="shared" si="54"/>
        <v>0</v>
      </c>
      <c r="BY27" s="4">
        <f t="shared" si="54"/>
        <v>0</v>
      </c>
    </row>
    <row r="28">
      <c r="A28" s="1" t="s">
        <v>99</v>
      </c>
      <c r="B28" s="1" t="s">
        <v>54</v>
      </c>
      <c r="C28" s="1" t="s">
        <v>100</v>
      </c>
      <c r="D28" s="1">
        <v>15700.0</v>
      </c>
      <c r="E28" s="1">
        <v>65100.0</v>
      </c>
      <c r="F28" s="1">
        <v>26100.0</v>
      </c>
      <c r="G28" s="1">
        <v>27300.0</v>
      </c>
      <c r="H28" s="1">
        <v>59500.0</v>
      </c>
      <c r="I28" s="1">
        <v>37900.0</v>
      </c>
      <c r="J28" s="1">
        <v>162000.0</v>
      </c>
      <c r="K28" s="1">
        <v>24500.0</v>
      </c>
      <c r="L28" s="1">
        <v>17200.0</v>
      </c>
      <c r="M28" s="1">
        <v>21300.0</v>
      </c>
      <c r="N28" s="1">
        <v>21800.0</v>
      </c>
      <c r="O28" s="1">
        <v>25900.0</v>
      </c>
      <c r="P28" s="1">
        <v>25100.0</v>
      </c>
      <c r="Q28" s="1">
        <v>19200.0</v>
      </c>
      <c r="R28" s="1">
        <v>24000.0</v>
      </c>
      <c r="S28" s="1">
        <v>27400.0</v>
      </c>
      <c r="T28" s="1">
        <v>54700.0</v>
      </c>
      <c r="U28" s="1">
        <v>66600.0</v>
      </c>
      <c r="V28" s="1">
        <v>134300.0</v>
      </c>
      <c r="W28" s="1">
        <v>22800.0</v>
      </c>
      <c r="X28" s="1">
        <v>18400.0</v>
      </c>
      <c r="Y28" s="1">
        <v>22300.0</v>
      </c>
      <c r="Z28" s="1">
        <v>21600.0</v>
      </c>
      <c r="AA28" s="1">
        <v>15700.0</v>
      </c>
      <c r="AB28" s="3">
        <f t="shared" si="3"/>
        <v>39850</v>
      </c>
      <c r="AC28" s="4">
        <f t="shared" si="4"/>
        <v>36933.10051</v>
      </c>
      <c r="AD28" s="4">
        <f t="shared" ref="AD28:BA28" si="55">(D28-$AB28)/$AC28</f>
        <v>-0.6538849885</v>
      </c>
      <c r="AE28" s="4">
        <f t="shared" si="55"/>
        <v>0.6836685698</v>
      </c>
      <c r="AF28" s="4">
        <f t="shared" si="55"/>
        <v>-0.3722947657</v>
      </c>
      <c r="AG28" s="4">
        <f t="shared" si="55"/>
        <v>-0.3398035862</v>
      </c>
      <c r="AH28" s="4">
        <f t="shared" si="55"/>
        <v>0.5320430652</v>
      </c>
      <c r="AI28" s="4">
        <f t="shared" si="55"/>
        <v>-0.05279816677</v>
      </c>
      <c r="AJ28" s="4">
        <f t="shared" si="55"/>
        <v>3.307331319</v>
      </c>
      <c r="AK28" s="4">
        <f t="shared" si="55"/>
        <v>-0.4156163384</v>
      </c>
      <c r="AL28" s="4">
        <f t="shared" si="55"/>
        <v>-0.6132710141</v>
      </c>
      <c r="AM28" s="4">
        <f t="shared" si="55"/>
        <v>-0.5022594839</v>
      </c>
      <c r="AN28" s="4">
        <f t="shared" si="55"/>
        <v>-0.4887214924</v>
      </c>
      <c r="AO28" s="4">
        <f t="shared" si="55"/>
        <v>-0.3777099623</v>
      </c>
      <c r="AP28" s="4">
        <f t="shared" si="55"/>
        <v>-0.3993707487</v>
      </c>
      <c r="AQ28" s="4">
        <f t="shared" si="55"/>
        <v>-0.5591190481</v>
      </c>
      <c r="AR28" s="4">
        <f t="shared" si="55"/>
        <v>-0.4291543299</v>
      </c>
      <c r="AS28" s="4">
        <f t="shared" si="55"/>
        <v>-0.3370959879</v>
      </c>
      <c r="AT28" s="4">
        <f t="shared" si="55"/>
        <v>0.402078347</v>
      </c>
      <c r="AU28" s="4">
        <f t="shared" si="55"/>
        <v>0.7242825442</v>
      </c>
      <c r="AV28" s="4">
        <f t="shared" si="55"/>
        <v>2.557326591</v>
      </c>
      <c r="AW28" s="4">
        <f t="shared" si="55"/>
        <v>-0.4616455095</v>
      </c>
      <c r="AX28" s="4">
        <f t="shared" si="55"/>
        <v>-0.5807798345</v>
      </c>
      <c r="AY28" s="4">
        <f t="shared" si="55"/>
        <v>-0.475183501</v>
      </c>
      <c r="AZ28" s="4">
        <f t="shared" si="55"/>
        <v>-0.494136689</v>
      </c>
      <c r="BA28" s="4">
        <f t="shared" si="55"/>
        <v>-0.6538849885</v>
      </c>
      <c r="BB28" s="4">
        <f t="shared" ref="BB28:BY28" si="56">IF(AD28&gt;=1,1,0)
</f>
        <v>0</v>
      </c>
      <c r="BC28" s="4">
        <f t="shared" si="56"/>
        <v>0</v>
      </c>
      <c r="BD28" s="4">
        <f t="shared" si="56"/>
        <v>0</v>
      </c>
      <c r="BE28" s="4">
        <f t="shared" si="56"/>
        <v>0</v>
      </c>
      <c r="BF28" s="4">
        <f t="shared" si="56"/>
        <v>0</v>
      </c>
      <c r="BG28" s="4">
        <f t="shared" si="56"/>
        <v>0</v>
      </c>
      <c r="BH28" s="4">
        <f t="shared" si="56"/>
        <v>1</v>
      </c>
      <c r="BI28" s="4">
        <f t="shared" si="56"/>
        <v>0</v>
      </c>
      <c r="BJ28" s="4">
        <f t="shared" si="56"/>
        <v>0</v>
      </c>
      <c r="BK28" s="4">
        <f t="shared" si="56"/>
        <v>0</v>
      </c>
      <c r="BL28" s="4">
        <f t="shared" si="56"/>
        <v>0</v>
      </c>
      <c r="BM28" s="4">
        <f t="shared" si="56"/>
        <v>0</v>
      </c>
      <c r="BN28" s="4">
        <f t="shared" si="56"/>
        <v>0</v>
      </c>
      <c r="BO28" s="4">
        <f t="shared" si="56"/>
        <v>0</v>
      </c>
      <c r="BP28" s="4">
        <f t="shared" si="56"/>
        <v>0</v>
      </c>
      <c r="BQ28" s="4">
        <f t="shared" si="56"/>
        <v>0</v>
      </c>
      <c r="BR28" s="4">
        <f t="shared" si="56"/>
        <v>0</v>
      </c>
      <c r="BS28" s="4">
        <f t="shared" si="56"/>
        <v>0</v>
      </c>
      <c r="BT28" s="4">
        <f t="shared" si="56"/>
        <v>1</v>
      </c>
      <c r="BU28" s="4">
        <f t="shared" si="56"/>
        <v>0</v>
      </c>
      <c r="BV28" s="4">
        <f t="shared" si="56"/>
        <v>0</v>
      </c>
      <c r="BW28" s="4">
        <f t="shared" si="56"/>
        <v>0</v>
      </c>
      <c r="BX28" s="4">
        <f t="shared" si="56"/>
        <v>0</v>
      </c>
      <c r="BY28" s="4">
        <f t="shared" si="56"/>
        <v>0</v>
      </c>
    </row>
    <row r="29">
      <c r="A29" s="1" t="s">
        <v>101</v>
      </c>
      <c r="B29" s="1" t="s">
        <v>54</v>
      </c>
      <c r="C29" s="1" t="s">
        <v>102</v>
      </c>
      <c r="D29" s="1">
        <v>6600.0</v>
      </c>
      <c r="E29" s="1">
        <v>8800.0</v>
      </c>
      <c r="F29" s="1">
        <v>4700.0</v>
      </c>
      <c r="G29" s="1">
        <v>4800.0</v>
      </c>
      <c r="H29" s="1">
        <v>9600.0</v>
      </c>
      <c r="I29" s="1">
        <v>5500.0</v>
      </c>
      <c r="J29" s="1">
        <v>5000.0</v>
      </c>
      <c r="K29" s="1">
        <v>6900.0</v>
      </c>
      <c r="L29" s="1">
        <v>6200.0</v>
      </c>
      <c r="M29" s="1">
        <v>8700.0</v>
      </c>
      <c r="N29" s="1">
        <v>5800.0</v>
      </c>
      <c r="O29" s="1">
        <v>6800.0</v>
      </c>
      <c r="P29" s="1">
        <v>6800.0</v>
      </c>
      <c r="Q29" s="1">
        <v>5000.0</v>
      </c>
      <c r="R29" s="1">
        <v>5000.0</v>
      </c>
      <c r="S29" s="1">
        <v>9200.0</v>
      </c>
      <c r="T29" s="1">
        <v>4900.0</v>
      </c>
      <c r="U29" s="1">
        <v>5900.0</v>
      </c>
      <c r="V29" s="1">
        <v>8100.0</v>
      </c>
      <c r="W29" s="1">
        <v>4900.0</v>
      </c>
      <c r="X29" s="1">
        <v>5000.0</v>
      </c>
      <c r="Y29" s="1">
        <v>6200.0</v>
      </c>
      <c r="Z29" s="1">
        <v>6900.0</v>
      </c>
      <c r="AA29" s="1">
        <v>5000.0</v>
      </c>
      <c r="AB29" s="3">
        <f t="shared" si="3"/>
        <v>6345.833333</v>
      </c>
      <c r="AC29" s="4">
        <f t="shared" si="4"/>
        <v>1533.106867</v>
      </c>
      <c r="AD29" s="4">
        <f t="shared" ref="AD29:BA29" si="57">(D29-$AB29)/$AC29</f>
        <v>0.1657853553</v>
      </c>
      <c r="AE29" s="4">
        <f t="shared" si="57"/>
        <v>1.600779906</v>
      </c>
      <c r="AF29" s="4">
        <f t="shared" si="57"/>
        <v>-1.07352812</v>
      </c>
      <c r="AG29" s="4">
        <f t="shared" si="57"/>
        <v>-1.008301095</v>
      </c>
      <c r="AH29" s="4">
        <f t="shared" si="57"/>
        <v>2.122596106</v>
      </c>
      <c r="AI29" s="4">
        <f t="shared" si="57"/>
        <v>-0.55171192</v>
      </c>
      <c r="AJ29" s="4">
        <f t="shared" si="57"/>
        <v>-0.8778470451</v>
      </c>
      <c r="AK29" s="4">
        <f t="shared" si="57"/>
        <v>0.3614664303</v>
      </c>
      <c r="AL29" s="4">
        <f t="shared" si="57"/>
        <v>-0.09512274483</v>
      </c>
      <c r="AM29" s="4">
        <f t="shared" si="57"/>
        <v>1.535552881</v>
      </c>
      <c r="AN29" s="4">
        <f t="shared" si="57"/>
        <v>-0.3560308449</v>
      </c>
      <c r="AO29" s="4">
        <f t="shared" si="57"/>
        <v>0.2962394053</v>
      </c>
      <c r="AP29" s="4">
        <f t="shared" si="57"/>
        <v>0.2962394053</v>
      </c>
      <c r="AQ29" s="4">
        <f t="shared" si="57"/>
        <v>-0.8778470451</v>
      </c>
      <c r="AR29" s="4">
        <f t="shared" si="57"/>
        <v>-0.8778470451</v>
      </c>
      <c r="AS29" s="4">
        <f t="shared" si="57"/>
        <v>1.861688006</v>
      </c>
      <c r="AT29" s="4">
        <f t="shared" si="57"/>
        <v>-0.9430740701</v>
      </c>
      <c r="AU29" s="4">
        <f t="shared" si="57"/>
        <v>-0.2908038199</v>
      </c>
      <c r="AV29" s="4">
        <f t="shared" si="57"/>
        <v>1.144190731</v>
      </c>
      <c r="AW29" s="4">
        <f t="shared" si="57"/>
        <v>-0.9430740701</v>
      </c>
      <c r="AX29" s="4">
        <f t="shared" si="57"/>
        <v>-0.8778470451</v>
      </c>
      <c r="AY29" s="4">
        <f t="shared" si="57"/>
        <v>-0.09512274483</v>
      </c>
      <c r="AZ29" s="4">
        <f t="shared" si="57"/>
        <v>0.3614664303</v>
      </c>
      <c r="BA29" s="4">
        <f t="shared" si="57"/>
        <v>-0.8778470451</v>
      </c>
      <c r="BB29" s="4">
        <f t="shared" ref="BB29:BY29" si="58">IF(AD29&gt;=1,1,0)
</f>
        <v>0</v>
      </c>
      <c r="BC29" s="4">
        <f t="shared" si="58"/>
        <v>1</v>
      </c>
      <c r="BD29" s="4">
        <f t="shared" si="58"/>
        <v>0</v>
      </c>
      <c r="BE29" s="4">
        <f t="shared" si="58"/>
        <v>0</v>
      </c>
      <c r="BF29" s="4">
        <f t="shared" si="58"/>
        <v>1</v>
      </c>
      <c r="BG29" s="4">
        <f t="shared" si="58"/>
        <v>0</v>
      </c>
      <c r="BH29" s="4">
        <f t="shared" si="58"/>
        <v>0</v>
      </c>
      <c r="BI29" s="4">
        <f t="shared" si="58"/>
        <v>0</v>
      </c>
      <c r="BJ29" s="4">
        <f t="shared" si="58"/>
        <v>0</v>
      </c>
      <c r="BK29" s="4">
        <f t="shared" si="58"/>
        <v>1</v>
      </c>
      <c r="BL29" s="4">
        <f t="shared" si="58"/>
        <v>0</v>
      </c>
      <c r="BM29" s="4">
        <f t="shared" si="58"/>
        <v>0</v>
      </c>
      <c r="BN29" s="4">
        <f t="shared" si="58"/>
        <v>0</v>
      </c>
      <c r="BO29" s="4">
        <f t="shared" si="58"/>
        <v>0</v>
      </c>
      <c r="BP29" s="4">
        <f t="shared" si="58"/>
        <v>0</v>
      </c>
      <c r="BQ29" s="4">
        <f t="shared" si="58"/>
        <v>1</v>
      </c>
      <c r="BR29" s="4">
        <f t="shared" si="58"/>
        <v>0</v>
      </c>
      <c r="BS29" s="4">
        <f t="shared" si="58"/>
        <v>0</v>
      </c>
      <c r="BT29" s="4">
        <f t="shared" si="58"/>
        <v>1</v>
      </c>
      <c r="BU29" s="4">
        <f t="shared" si="58"/>
        <v>0</v>
      </c>
      <c r="BV29" s="4">
        <f t="shared" si="58"/>
        <v>0</v>
      </c>
      <c r="BW29" s="4">
        <f t="shared" si="58"/>
        <v>0</v>
      </c>
      <c r="BX29" s="4">
        <f t="shared" si="58"/>
        <v>0</v>
      </c>
      <c r="BY29" s="4">
        <f t="shared" si="58"/>
        <v>0</v>
      </c>
    </row>
    <row r="30">
      <c r="A30" s="1" t="s">
        <v>103</v>
      </c>
      <c r="B30" s="1" t="s">
        <v>72</v>
      </c>
      <c r="C30" s="1" t="s">
        <v>72</v>
      </c>
      <c r="D30" s="1">
        <v>0.0</v>
      </c>
      <c r="E30" s="1">
        <v>0.0</v>
      </c>
      <c r="F30" s="1">
        <v>0.0</v>
      </c>
      <c r="G30" s="1">
        <v>0.0</v>
      </c>
      <c r="H30" s="1">
        <v>100.0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200.0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3">
        <f t="shared" si="3"/>
        <v>12.5</v>
      </c>
      <c r="AC30" s="4">
        <f t="shared" si="4"/>
        <v>44.84272031</v>
      </c>
      <c r="AD30" s="4">
        <f t="shared" ref="AD30:BA30" si="59">(D30-$AB30)/$AC30</f>
        <v>-0.2787520452</v>
      </c>
      <c r="AE30" s="4">
        <f t="shared" si="59"/>
        <v>-0.2787520452</v>
      </c>
      <c r="AF30" s="4">
        <f t="shared" si="59"/>
        <v>-0.2787520452</v>
      </c>
      <c r="AG30" s="4">
        <f t="shared" si="59"/>
        <v>-0.2787520452</v>
      </c>
      <c r="AH30" s="4">
        <f t="shared" si="59"/>
        <v>1.951264316</v>
      </c>
      <c r="AI30" s="4">
        <f t="shared" si="59"/>
        <v>-0.2787520452</v>
      </c>
      <c r="AJ30" s="4">
        <f t="shared" si="59"/>
        <v>-0.2787520452</v>
      </c>
      <c r="AK30" s="4">
        <f t="shared" si="59"/>
        <v>-0.2787520452</v>
      </c>
      <c r="AL30" s="4">
        <f t="shared" si="59"/>
        <v>-0.2787520452</v>
      </c>
      <c r="AM30" s="4">
        <f t="shared" si="59"/>
        <v>-0.2787520452</v>
      </c>
      <c r="AN30" s="4">
        <f t="shared" si="59"/>
        <v>-0.2787520452</v>
      </c>
      <c r="AO30" s="4">
        <f t="shared" si="59"/>
        <v>-0.2787520452</v>
      </c>
      <c r="AP30" s="4">
        <f t="shared" si="59"/>
        <v>-0.2787520452</v>
      </c>
      <c r="AQ30" s="4">
        <f t="shared" si="59"/>
        <v>-0.2787520452</v>
      </c>
      <c r="AR30" s="4">
        <f t="shared" si="59"/>
        <v>-0.2787520452</v>
      </c>
      <c r="AS30" s="4">
        <f t="shared" si="59"/>
        <v>-0.2787520452</v>
      </c>
      <c r="AT30" s="4">
        <f t="shared" si="59"/>
        <v>4.181280678</v>
      </c>
      <c r="AU30" s="4">
        <f t="shared" si="59"/>
        <v>-0.2787520452</v>
      </c>
      <c r="AV30" s="4">
        <f t="shared" si="59"/>
        <v>-0.2787520452</v>
      </c>
      <c r="AW30" s="4">
        <f t="shared" si="59"/>
        <v>-0.2787520452</v>
      </c>
      <c r="AX30" s="4">
        <f t="shared" si="59"/>
        <v>-0.2787520452</v>
      </c>
      <c r="AY30" s="4">
        <f t="shared" si="59"/>
        <v>-0.2787520452</v>
      </c>
      <c r="AZ30" s="4">
        <f t="shared" si="59"/>
        <v>-0.2787520452</v>
      </c>
      <c r="BA30" s="4">
        <f t="shared" si="59"/>
        <v>-0.2787520452</v>
      </c>
      <c r="BB30" s="4">
        <f t="shared" ref="BB30:BY30" si="60">IF(AD30&gt;=1,1,0)
</f>
        <v>0</v>
      </c>
      <c r="BC30" s="4">
        <f t="shared" si="60"/>
        <v>0</v>
      </c>
      <c r="BD30" s="4">
        <f t="shared" si="60"/>
        <v>0</v>
      </c>
      <c r="BE30" s="4">
        <f t="shared" si="60"/>
        <v>0</v>
      </c>
      <c r="BF30" s="4">
        <f t="shared" si="60"/>
        <v>1</v>
      </c>
      <c r="BG30" s="4">
        <f t="shared" si="60"/>
        <v>0</v>
      </c>
      <c r="BH30" s="4">
        <f t="shared" si="60"/>
        <v>0</v>
      </c>
      <c r="BI30" s="4">
        <f t="shared" si="60"/>
        <v>0</v>
      </c>
      <c r="BJ30" s="4">
        <f t="shared" si="60"/>
        <v>0</v>
      </c>
      <c r="BK30" s="4">
        <f t="shared" si="60"/>
        <v>0</v>
      </c>
      <c r="BL30" s="4">
        <f t="shared" si="60"/>
        <v>0</v>
      </c>
      <c r="BM30" s="4">
        <f t="shared" si="60"/>
        <v>0</v>
      </c>
      <c r="BN30" s="4">
        <f t="shared" si="60"/>
        <v>0</v>
      </c>
      <c r="BO30" s="4">
        <f t="shared" si="60"/>
        <v>0</v>
      </c>
      <c r="BP30" s="4">
        <f t="shared" si="60"/>
        <v>0</v>
      </c>
      <c r="BQ30" s="4">
        <f t="shared" si="60"/>
        <v>0</v>
      </c>
      <c r="BR30" s="4">
        <f t="shared" si="60"/>
        <v>1</v>
      </c>
      <c r="BS30" s="4">
        <f t="shared" si="60"/>
        <v>0</v>
      </c>
      <c r="BT30" s="4">
        <f t="shared" si="60"/>
        <v>0</v>
      </c>
      <c r="BU30" s="4">
        <f t="shared" si="60"/>
        <v>0</v>
      </c>
      <c r="BV30" s="4">
        <f t="shared" si="60"/>
        <v>0</v>
      </c>
      <c r="BW30" s="4">
        <f t="shared" si="60"/>
        <v>0</v>
      </c>
      <c r="BX30" s="4">
        <f t="shared" si="60"/>
        <v>0</v>
      </c>
      <c r="BY30" s="4">
        <f t="shared" si="60"/>
        <v>0</v>
      </c>
    </row>
    <row r="31">
      <c r="A31" s="1" t="s">
        <v>104</v>
      </c>
      <c r="B31" s="1" t="s">
        <v>75</v>
      </c>
      <c r="C31" s="1" t="s">
        <v>105</v>
      </c>
      <c r="D31" s="1">
        <v>4000.0</v>
      </c>
      <c r="E31" s="1">
        <v>5000.0</v>
      </c>
      <c r="F31" s="1">
        <v>6800.0</v>
      </c>
      <c r="G31" s="1">
        <v>1200.0</v>
      </c>
      <c r="H31" s="1">
        <v>2500.0</v>
      </c>
      <c r="I31" s="1">
        <v>700.0</v>
      </c>
      <c r="J31" s="1">
        <v>1500.0</v>
      </c>
      <c r="K31" s="1">
        <v>1000.0</v>
      </c>
      <c r="L31" s="1">
        <v>800.0</v>
      </c>
      <c r="M31" s="1">
        <v>1600.0</v>
      </c>
      <c r="N31" s="1">
        <v>800.0</v>
      </c>
      <c r="O31" s="1">
        <v>1200.0</v>
      </c>
      <c r="P31" s="1">
        <v>2100.0</v>
      </c>
      <c r="Q31" s="1">
        <v>1300.0</v>
      </c>
      <c r="R31" s="1">
        <v>2200.0</v>
      </c>
      <c r="S31" s="1">
        <v>2000.0</v>
      </c>
      <c r="T31" s="1">
        <v>2100.0</v>
      </c>
      <c r="U31" s="1">
        <v>1000.0</v>
      </c>
      <c r="V31" s="1">
        <v>1000.0</v>
      </c>
      <c r="W31" s="1">
        <v>1200.0</v>
      </c>
      <c r="X31" s="1">
        <v>1600.0</v>
      </c>
      <c r="Y31" s="1">
        <v>1600.0</v>
      </c>
      <c r="Z31" s="1">
        <v>1600.0</v>
      </c>
      <c r="AA31" s="1">
        <v>1200.0</v>
      </c>
      <c r="AB31" s="3">
        <f t="shared" si="3"/>
        <v>1916.666667</v>
      </c>
      <c r="AC31" s="4">
        <f t="shared" si="4"/>
        <v>1440.008052</v>
      </c>
      <c r="AD31" s="4">
        <f t="shared" ref="AD31:BA31" si="61">(D31-$AB31)/$AC31</f>
        <v>1.44675117</v>
      </c>
      <c r="AE31" s="4">
        <f t="shared" si="61"/>
        <v>2.141191732</v>
      </c>
      <c r="AF31" s="4">
        <f t="shared" si="61"/>
        <v>3.391184742</v>
      </c>
      <c r="AG31" s="4">
        <f t="shared" si="61"/>
        <v>-0.4976824025</v>
      </c>
      <c r="AH31" s="4">
        <f t="shared" si="61"/>
        <v>0.4050903276</v>
      </c>
      <c r="AI31" s="4">
        <f t="shared" si="61"/>
        <v>-0.8449026833</v>
      </c>
      <c r="AJ31" s="4">
        <f t="shared" si="61"/>
        <v>-0.289350234</v>
      </c>
      <c r="AK31" s="4">
        <f t="shared" si="61"/>
        <v>-0.6365705148</v>
      </c>
      <c r="AL31" s="4">
        <f t="shared" si="61"/>
        <v>-0.7754586271</v>
      </c>
      <c r="AM31" s="4">
        <f t="shared" si="61"/>
        <v>-0.2199061778</v>
      </c>
      <c r="AN31" s="4">
        <f t="shared" si="61"/>
        <v>-0.7754586271</v>
      </c>
      <c r="AO31" s="4">
        <f t="shared" si="61"/>
        <v>-0.4976824025</v>
      </c>
      <c r="AP31" s="4">
        <f t="shared" si="61"/>
        <v>0.127314103</v>
      </c>
      <c r="AQ31" s="4">
        <f t="shared" si="61"/>
        <v>-0.4282383463</v>
      </c>
      <c r="AR31" s="4">
        <f t="shared" si="61"/>
        <v>0.1967581591</v>
      </c>
      <c r="AS31" s="4">
        <f t="shared" si="61"/>
        <v>0.0578700468</v>
      </c>
      <c r="AT31" s="4">
        <f t="shared" si="61"/>
        <v>0.127314103</v>
      </c>
      <c r="AU31" s="4">
        <f t="shared" si="61"/>
        <v>-0.6365705148</v>
      </c>
      <c r="AV31" s="4">
        <f t="shared" si="61"/>
        <v>-0.6365705148</v>
      </c>
      <c r="AW31" s="4">
        <f t="shared" si="61"/>
        <v>-0.4976824025</v>
      </c>
      <c r="AX31" s="4">
        <f t="shared" si="61"/>
        <v>-0.2199061778</v>
      </c>
      <c r="AY31" s="4">
        <f t="shared" si="61"/>
        <v>-0.2199061778</v>
      </c>
      <c r="AZ31" s="4">
        <f t="shared" si="61"/>
        <v>-0.2199061778</v>
      </c>
      <c r="BA31" s="4">
        <f t="shared" si="61"/>
        <v>-0.4976824025</v>
      </c>
      <c r="BB31" s="4">
        <f t="shared" ref="BB31:BY31" si="62">IF(AD31&gt;=1,1,0)
</f>
        <v>1</v>
      </c>
      <c r="BC31" s="4">
        <f t="shared" si="62"/>
        <v>1</v>
      </c>
      <c r="BD31" s="4">
        <f t="shared" si="62"/>
        <v>1</v>
      </c>
      <c r="BE31" s="4">
        <f t="shared" si="62"/>
        <v>0</v>
      </c>
      <c r="BF31" s="4">
        <f t="shared" si="62"/>
        <v>0</v>
      </c>
      <c r="BG31" s="4">
        <f t="shared" si="62"/>
        <v>0</v>
      </c>
      <c r="BH31" s="4">
        <f t="shared" si="62"/>
        <v>0</v>
      </c>
      <c r="BI31" s="4">
        <f t="shared" si="62"/>
        <v>0</v>
      </c>
      <c r="BJ31" s="4">
        <f t="shared" si="62"/>
        <v>0</v>
      </c>
      <c r="BK31" s="4">
        <f t="shared" si="62"/>
        <v>0</v>
      </c>
      <c r="BL31" s="4">
        <f t="shared" si="62"/>
        <v>0</v>
      </c>
      <c r="BM31" s="4">
        <f t="shared" si="62"/>
        <v>0</v>
      </c>
      <c r="BN31" s="4">
        <f t="shared" si="62"/>
        <v>0</v>
      </c>
      <c r="BO31" s="4">
        <f t="shared" si="62"/>
        <v>0</v>
      </c>
      <c r="BP31" s="4">
        <f t="shared" si="62"/>
        <v>0</v>
      </c>
      <c r="BQ31" s="4">
        <f t="shared" si="62"/>
        <v>0</v>
      </c>
      <c r="BR31" s="4">
        <f t="shared" si="62"/>
        <v>0</v>
      </c>
      <c r="BS31" s="4">
        <f t="shared" si="62"/>
        <v>0</v>
      </c>
      <c r="BT31" s="4">
        <f t="shared" si="62"/>
        <v>0</v>
      </c>
      <c r="BU31" s="4">
        <f t="shared" si="62"/>
        <v>0</v>
      </c>
      <c r="BV31" s="4">
        <f t="shared" si="62"/>
        <v>0</v>
      </c>
      <c r="BW31" s="4">
        <f t="shared" si="62"/>
        <v>0</v>
      </c>
      <c r="BX31" s="4">
        <f t="shared" si="62"/>
        <v>0</v>
      </c>
      <c r="BY31" s="4">
        <f t="shared" si="62"/>
        <v>0</v>
      </c>
    </row>
    <row r="32">
      <c r="A32" s="1" t="s">
        <v>106</v>
      </c>
      <c r="B32" s="1" t="s">
        <v>69</v>
      </c>
      <c r="C32" s="1" t="s">
        <v>70</v>
      </c>
      <c r="D32" s="1">
        <v>8500.0</v>
      </c>
      <c r="E32" s="1">
        <v>13400.0</v>
      </c>
      <c r="F32" s="1">
        <v>11000.0</v>
      </c>
      <c r="G32" s="1">
        <v>9800.0</v>
      </c>
      <c r="H32" s="1">
        <v>10500.0</v>
      </c>
      <c r="I32" s="1">
        <v>12700.0</v>
      </c>
      <c r="J32" s="1">
        <v>12300.0</v>
      </c>
      <c r="K32" s="1">
        <v>18600.0</v>
      </c>
      <c r="L32" s="1">
        <v>10000.0</v>
      </c>
      <c r="M32" s="1">
        <v>15700.0</v>
      </c>
      <c r="N32" s="1">
        <v>12000.0</v>
      </c>
      <c r="O32" s="1">
        <v>8900.0</v>
      </c>
      <c r="P32" s="1">
        <v>12800.0</v>
      </c>
      <c r="Q32" s="1">
        <v>14500.0</v>
      </c>
      <c r="R32" s="1">
        <v>12700.0</v>
      </c>
      <c r="S32" s="1">
        <v>13600.0</v>
      </c>
      <c r="T32" s="1">
        <v>11300.0</v>
      </c>
      <c r="U32" s="1">
        <v>17700.0</v>
      </c>
      <c r="V32" s="1">
        <v>23100.0</v>
      </c>
      <c r="W32" s="1">
        <v>12600.0</v>
      </c>
      <c r="X32" s="1">
        <v>13300.0</v>
      </c>
      <c r="Y32" s="1">
        <v>19400.0</v>
      </c>
      <c r="Z32" s="1">
        <v>15100.0</v>
      </c>
      <c r="AA32" s="1">
        <v>16900.0</v>
      </c>
      <c r="AB32" s="3">
        <f t="shared" si="3"/>
        <v>13600</v>
      </c>
      <c r="AC32" s="4">
        <f t="shared" si="4"/>
        <v>3543.886346</v>
      </c>
      <c r="AD32" s="4">
        <f t="shared" ref="AD32:BA32" si="63">(D32-$AB32)/$AC32</f>
        <v>-1.43909807</v>
      </c>
      <c r="AE32" s="4">
        <f t="shared" si="63"/>
        <v>-0.05643521842</v>
      </c>
      <c r="AF32" s="4">
        <f t="shared" si="63"/>
        <v>-0.7336578394</v>
      </c>
      <c r="AG32" s="4">
        <f t="shared" si="63"/>
        <v>-1.07226915</v>
      </c>
      <c r="AH32" s="4">
        <f t="shared" si="63"/>
        <v>-0.8747458855</v>
      </c>
      <c r="AI32" s="4">
        <f t="shared" si="63"/>
        <v>-0.2539584829</v>
      </c>
      <c r="AJ32" s="4">
        <f t="shared" si="63"/>
        <v>-0.3668289197</v>
      </c>
      <c r="AK32" s="4">
        <f t="shared" si="63"/>
        <v>1.41088046</v>
      </c>
      <c r="AL32" s="4">
        <f t="shared" si="63"/>
        <v>-1.015833932</v>
      </c>
      <c r="AM32" s="4">
        <f t="shared" si="63"/>
        <v>0.5925697934</v>
      </c>
      <c r="AN32" s="4">
        <f t="shared" si="63"/>
        <v>-0.4514817474</v>
      </c>
      <c r="AO32" s="4">
        <f t="shared" si="63"/>
        <v>-1.326227633</v>
      </c>
      <c r="AP32" s="4">
        <f t="shared" si="63"/>
        <v>-0.2257408737</v>
      </c>
      <c r="AQ32" s="4">
        <f t="shared" si="63"/>
        <v>0.2539584829</v>
      </c>
      <c r="AR32" s="4">
        <f t="shared" si="63"/>
        <v>-0.2539584829</v>
      </c>
      <c r="AS32" s="4">
        <f t="shared" si="63"/>
        <v>0</v>
      </c>
      <c r="AT32" s="4">
        <f t="shared" si="63"/>
        <v>-0.6490050118</v>
      </c>
      <c r="AU32" s="4">
        <f t="shared" si="63"/>
        <v>1.156921978</v>
      </c>
      <c r="AV32" s="4">
        <f t="shared" si="63"/>
        <v>2.680672875</v>
      </c>
      <c r="AW32" s="4">
        <f t="shared" si="63"/>
        <v>-0.2821760921</v>
      </c>
      <c r="AX32" s="4">
        <f t="shared" si="63"/>
        <v>-0.08465282763</v>
      </c>
      <c r="AY32" s="4">
        <f t="shared" si="63"/>
        <v>1.636621334</v>
      </c>
      <c r="AZ32" s="4">
        <f t="shared" si="63"/>
        <v>0.4232641381</v>
      </c>
      <c r="BA32" s="4">
        <f t="shared" si="63"/>
        <v>0.9311811039</v>
      </c>
      <c r="BB32" s="4">
        <f t="shared" ref="BB32:BY32" si="64">IF(AD32&gt;=1,1,0)
</f>
        <v>0</v>
      </c>
      <c r="BC32" s="4">
        <f t="shared" si="64"/>
        <v>0</v>
      </c>
      <c r="BD32" s="4">
        <f t="shared" si="64"/>
        <v>0</v>
      </c>
      <c r="BE32" s="4">
        <f t="shared" si="64"/>
        <v>0</v>
      </c>
      <c r="BF32" s="4">
        <f t="shared" si="64"/>
        <v>0</v>
      </c>
      <c r="BG32" s="4">
        <f t="shared" si="64"/>
        <v>0</v>
      </c>
      <c r="BH32" s="4">
        <f t="shared" si="64"/>
        <v>0</v>
      </c>
      <c r="BI32" s="4">
        <f t="shared" si="64"/>
        <v>1</v>
      </c>
      <c r="BJ32" s="4">
        <f t="shared" si="64"/>
        <v>0</v>
      </c>
      <c r="BK32" s="4">
        <f t="shared" si="64"/>
        <v>0</v>
      </c>
      <c r="BL32" s="4">
        <f t="shared" si="64"/>
        <v>0</v>
      </c>
      <c r="BM32" s="4">
        <f t="shared" si="64"/>
        <v>0</v>
      </c>
      <c r="BN32" s="4">
        <f t="shared" si="64"/>
        <v>0</v>
      </c>
      <c r="BO32" s="4">
        <f t="shared" si="64"/>
        <v>0</v>
      </c>
      <c r="BP32" s="4">
        <f t="shared" si="64"/>
        <v>0</v>
      </c>
      <c r="BQ32" s="4">
        <f t="shared" si="64"/>
        <v>0</v>
      </c>
      <c r="BR32" s="4">
        <f t="shared" si="64"/>
        <v>0</v>
      </c>
      <c r="BS32" s="4">
        <f t="shared" si="64"/>
        <v>1</v>
      </c>
      <c r="BT32" s="4">
        <f t="shared" si="64"/>
        <v>1</v>
      </c>
      <c r="BU32" s="4">
        <f t="shared" si="64"/>
        <v>0</v>
      </c>
      <c r="BV32" s="4">
        <f t="shared" si="64"/>
        <v>0</v>
      </c>
      <c r="BW32" s="4">
        <f t="shared" si="64"/>
        <v>1</v>
      </c>
      <c r="BX32" s="4">
        <f t="shared" si="64"/>
        <v>0</v>
      </c>
      <c r="BY32" s="4">
        <f t="shared" si="64"/>
        <v>0</v>
      </c>
    </row>
    <row r="33">
      <c r="A33" s="1" t="s">
        <v>107</v>
      </c>
      <c r="B33" s="1" t="s">
        <v>108</v>
      </c>
      <c r="C33" s="1" t="s">
        <v>109</v>
      </c>
      <c r="D33" s="1">
        <v>35400.0</v>
      </c>
      <c r="E33" s="1">
        <v>49300.0</v>
      </c>
      <c r="F33" s="1">
        <v>58200.0</v>
      </c>
      <c r="G33" s="1">
        <v>68400.0</v>
      </c>
      <c r="H33" s="1">
        <v>142200.0</v>
      </c>
      <c r="I33" s="1">
        <v>61000.0</v>
      </c>
      <c r="J33" s="1">
        <v>54600.0</v>
      </c>
      <c r="K33" s="1">
        <v>45800.0</v>
      </c>
      <c r="L33" s="1">
        <v>35900.0</v>
      </c>
      <c r="M33" s="1">
        <v>91700.0</v>
      </c>
      <c r="N33" s="1">
        <v>104000.0</v>
      </c>
      <c r="O33" s="1">
        <v>44600.0</v>
      </c>
      <c r="P33" s="1">
        <v>29100.0</v>
      </c>
      <c r="Q33" s="1">
        <v>23000.0</v>
      </c>
      <c r="R33" s="1">
        <v>31200.0</v>
      </c>
      <c r="S33" s="1">
        <v>41800.0</v>
      </c>
      <c r="T33" s="1">
        <v>31400.0</v>
      </c>
      <c r="U33" s="1">
        <v>33900.0</v>
      </c>
      <c r="V33" s="1">
        <v>67300.0</v>
      </c>
      <c r="W33" s="1">
        <v>40500.0</v>
      </c>
      <c r="X33" s="1">
        <v>38200.0</v>
      </c>
      <c r="Y33" s="1">
        <v>38100.0</v>
      </c>
      <c r="Z33" s="1">
        <v>36700.0</v>
      </c>
      <c r="AA33" s="1">
        <v>38700.0</v>
      </c>
      <c r="AB33" s="3">
        <f t="shared" si="3"/>
        <v>51708.33333</v>
      </c>
      <c r="AC33" s="4">
        <f t="shared" si="4"/>
        <v>27393.69837</v>
      </c>
      <c r="AD33" s="4">
        <f t="shared" ref="AD33:BA33" si="65">(D33-$AB33)/$AC33</f>
        <v>-0.5953315655</v>
      </c>
      <c r="AE33" s="4">
        <f t="shared" si="65"/>
        <v>-0.08791559654</v>
      </c>
      <c r="AF33" s="4">
        <f t="shared" si="65"/>
        <v>0.2369766426</v>
      </c>
      <c r="AG33" s="4">
        <f t="shared" si="65"/>
        <v>0.6093250515</v>
      </c>
      <c r="AH33" s="4">
        <f t="shared" si="65"/>
        <v>3.303375304</v>
      </c>
      <c r="AI33" s="4">
        <f t="shared" si="65"/>
        <v>0.3391899313</v>
      </c>
      <c r="AJ33" s="4">
        <f t="shared" si="65"/>
        <v>0.1055595571</v>
      </c>
      <c r="AK33" s="4">
        <f t="shared" si="65"/>
        <v>-0.2156822074</v>
      </c>
      <c r="AL33" s="4">
        <f t="shared" si="65"/>
        <v>-0.5770791925</v>
      </c>
      <c r="AM33" s="4">
        <f t="shared" si="65"/>
        <v>1.459885633</v>
      </c>
      <c r="AN33" s="4">
        <f t="shared" si="65"/>
        <v>1.908894008</v>
      </c>
      <c r="AO33" s="4">
        <f t="shared" si="65"/>
        <v>-0.2594879026</v>
      </c>
      <c r="AP33" s="4">
        <f t="shared" si="65"/>
        <v>-0.8253114651</v>
      </c>
      <c r="AQ33" s="4">
        <f t="shared" si="65"/>
        <v>-1.047990416</v>
      </c>
      <c r="AR33" s="4">
        <f t="shared" si="65"/>
        <v>-0.7486514986</v>
      </c>
      <c r="AS33" s="4">
        <f t="shared" si="65"/>
        <v>-0.3617011913</v>
      </c>
      <c r="AT33" s="4">
        <f t="shared" si="65"/>
        <v>-0.7413505494</v>
      </c>
      <c r="AU33" s="4">
        <f t="shared" si="65"/>
        <v>-0.6500886845</v>
      </c>
      <c r="AV33" s="4">
        <f t="shared" si="65"/>
        <v>0.5691698309</v>
      </c>
      <c r="AW33" s="4">
        <f t="shared" si="65"/>
        <v>-0.4091573611</v>
      </c>
      <c r="AX33" s="4">
        <f t="shared" si="65"/>
        <v>-0.4931182768</v>
      </c>
      <c r="AY33" s="4">
        <f t="shared" si="65"/>
        <v>-0.4967687514</v>
      </c>
      <c r="AZ33" s="4">
        <f t="shared" si="65"/>
        <v>-0.5478753958</v>
      </c>
      <c r="BA33" s="4">
        <f t="shared" si="65"/>
        <v>-0.4748659038</v>
      </c>
      <c r="BB33" s="4">
        <f t="shared" ref="BB33:BY33" si="66">IF(AD33&gt;=1,1,0)
</f>
        <v>0</v>
      </c>
      <c r="BC33" s="4">
        <f t="shared" si="66"/>
        <v>0</v>
      </c>
      <c r="BD33" s="4">
        <f t="shared" si="66"/>
        <v>0</v>
      </c>
      <c r="BE33" s="4">
        <f t="shared" si="66"/>
        <v>0</v>
      </c>
      <c r="BF33" s="4">
        <f t="shared" si="66"/>
        <v>1</v>
      </c>
      <c r="BG33" s="4">
        <f t="shared" si="66"/>
        <v>0</v>
      </c>
      <c r="BH33" s="4">
        <f t="shared" si="66"/>
        <v>0</v>
      </c>
      <c r="BI33" s="4">
        <f t="shared" si="66"/>
        <v>0</v>
      </c>
      <c r="BJ33" s="4">
        <f t="shared" si="66"/>
        <v>0</v>
      </c>
      <c r="BK33" s="4">
        <f t="shared" si="66"/>
        <v>1</v>
      </c>
      <c r="BL33" s="4">
        <f t="shared" si="66"/>
        <v>1</v>
      </c>
      <c r="BM33" s="4">
        <f t="shared" si="66"/>
        <v>0</v>
      </c>
      <c r="BN33" s="4">
        <f t="shared" si="66"/>
        <v>0</v>
      </c>
      <c r="BO33" s="4">
        <f t="shared" si="66"/>
        <v>0</v>
      </c>
      <c r="BP33" s="4">
        <f t="shared" si="66"/>
        <v>0</v>
      </c>
      <c r="BQ33" s="4">
        <f t="shared" si="66"/>
        <v>0</v>
      </c>
      <c r="BR33" s="4">
        <f t="shared" si="66"/>
        <v>0</v>
      </c>
      <c r="BS33" s="4">
        <f t="shared" si="66"/>
        <v>0</v>
      </c>
      <c r="BT33" s="4">
        <f t="shared" si="66"/>
        <v>0</v>
      </c>
      <c r="BU33" s="4">
        <f t="shared" si="66"/>
        <v>0</v>
      </c>
      <c r="BV33" s="4">
        <f t="shared" si="66"/>
        <v>0</v>
      </c>
      <c r="BW33" s="4">
        <f t="shared" si="66"/>
        <v>0</v>
      </c>
      <c r="BX33" s="4">
        <f t="shared" si="66"/>
        <v>0</v>
      </c>
      <c r="BY33" s="4">
        <f t="shared" si="66"/>
        <v>0</v>
      </c>
    </row>
    <row r="34">
      <c r="A34" s="1" t="s">
        <v>110</v>
      </c>
      <c r="B34" s="1" t="s">
        <v>108</v>
      </c>
      <c r="C34" s="1" t="s">
        <v>111</v>
      </c>
      <c r="D34" s="1">
        <v>121700.0</v>
      </c>
      <c r="E34" s="1">
        <v>136500.0</v>
      </c>
      <c r="F34" s="1">
        <v>75700.0</v>
      </c>
      <c r="G34" s="1">
        <v>66600.0</v>
      </c>
      <c r="H34" s="1">
        <v>79200.0</v>
      </c>
      <c r="I34" s="1">
        <v>73400.0</v>
      </c>
      <c r="J34" s="1">
        <v>85700.0</v>
      </c>
      <c r="K34" s="1">
        <v>102500.0</v>
      </c>
      <c r="L34" s="1">
        <v>81500.0</v>
      </c>
      <c r="M34" s="1">
        <v>114400.0</v>
      </c>
      <c r="N34" s="1">
        <v>94800.0</v>
      </c>
      <c r="O34" s="1">
        <v>91600.0</v>
      </c>
      <c r="P34" s="1">
        <v>97500.0</v>
      </c>
      <c r="Q34" s="1">
        <v>79900.0</v>
      </c>
      <c r="R34" s="1">
        <v>90800.0</v>
      </c>
      <c r="S34" s="1">
        <v>116100.0</v>
      </c>
      <c r="T34" s="1">
        <v>145200.0</v>
      </c>
      <c r="U34" s="1">
        <v>134800.0</v>
      </c>
      <c r="V34" s="1">
        <v>132500.0</v>
      </c>
      <c r="W34" s="1">
        <v>127400.0</v>
      </c>
      <c r="X34" s="1">
        <v>121600.0</v>
      </c>
      <c r="Y34" s="1">
        <v>149200.0</v>
      </c>
      <c r="Z34" s="1">
        <v>129900.0</v>
      </c>
      <c r="AA34" s="1">
        <v>117900.0</v>
      </c>
      <c r="AB34" s="3">
        <f t="shared" si="3"/>
        <v>106933.3333</v>
      </c>
      <c r="AC34" s="4">
        <f t="shared" si="4"/>
        <v>24908.92396</v>
      </c>
      <c r="AD34" s="4">
        <f t="shared" ref="AD34:BA34" si="67">(D34-$AB34)/$AC34</f>
        <v>0.5928263578</v>
      </c>
      <c r="AE34" s="4">
        <f t="shared" si="67"/>
        <v>1.186990924</v>
      </c>
      <c r="AF34" s="4">
        <f t="shared" si="67"/>
        <v>-1.253901348</v>
      </c>
      <c r="AG34" s="4">
        <f t="shared" si="67"/>
        <v>-1.619232264</v>
      </c>
      <c r="AH34" s="4">
        <f t="shared" si="67"/>
        <v>-1.113389458</v>
      </c>
      <c r="AI34" s="4">
        <f t="shared" si="67"/>
        <v>-1.346237733</v>
      </c>
      <c r="AJ34" s="4">
        <f t="shared" si="67"/>
        <v>-0.8524388034</v>
      </c>
      <c r="AK34" s="4">
        <f t="shared" si="67"/>
        <v>-0.1779817282</v>
      </c>
      <c r="AL34" s="4">
        <f t="shared" si="67"/>
        <v>-1.021053072</v>
      </c>
      <c r="AM34" s="4">
        <f t="shared" si="67"/>
        <v>0.2997587001</v>
      </c>
      <c r="AN34" s="4">
        <f t="shared" si="67"/>
        <v>-0.4871078877</v>
      </c>
      <c r="AO34" s="4">
        <f t="shared" si="67"/>
        <v>-0.615575902</v>
      </c>
      <c r="AP34" s="4">
        <f t="shared" si="67"/>
        <v>-0.3787130006</v>
      </c>
      <c r="AQ34" s="4">
        <f t="shared" si="67"/>
        <v>-1.085287079</v>
      </c>
      <c r="AR34" s="4">
        <f t="shared" si="67"/>
        <v>-0.6476929056</v>
      </c>
      <c r="AS34" s="4">
        <f t="shared" si="67"/>
        <v>0.3680073327</v>
      </c>
      <c r="AT34" s="4">
        <f t="shared" si="67"/>
        <v>1.536263338</v>
      </c>
      <c r="AU34" s="4">
        <f t="shared" si="67"/>
        <v>1.118742291</v>
      </c>
      <c r="AV34" s="4">
        <f t="shared" si="67"/>
        <v>1.026405906</v>
      </c>
      <c r="AW34" s="4">
        <f t="shared" si="67"/>
        <v>0.8216600083</v>
      </c>
      <c r="AX34" s="4">
        <f t="shared" si="67"/>
        <v>0.5888117323</v>
      </c>
      <c r="AY34" s="4">
        <f t="shared" si="67"/>
        <v>1.696848356</v>
      </c>
      <c r="AZ34" s="4">
        <f t="shared" si="67"/>
        <v>0.9220256445</v>
      </c>
      <c r="BA34" s="4">
        <f t="shared" si="67"/>
        <v>0.4402705908</v>
      </c>
      <c r="BB34" s="4">
        <f t="shared" ref="BB34:BY34" si="68">IF(AD34&gt;=1,1,0)
</f>
        <v>0</v>
      </c>
      <c r="BC34" s="4">
        <f t="shared" si="68"/>
        <v>1</v>
      </c>
      <c r="BD34" s="4">
        <f t="shared" si="68"/>
        <v>0</v>
      </c>
      <c r="BE34" s="4">
        <f t="shared" si="68"/>
        <v>0</v>
      </c>
      <c r="BF34" s="4">
        <f t="shared" si="68"/>
        <v>0</v>
      </c>
      <c r="BG34" s="4">
        <f t="shared" si="68"/>
        <v>0</v>
      </c>
      <c r="BH34" s="4">
        <f t="shared" si="68"/>
        <v>0</v>
      </c>
      <c r="BI34" s="4">
        <f t="shared" si="68"/>
        <v>0</v>
      </c>
      <c r="BJ34" s="4">
        <f t="shared" si="68"/>
        <v>0</v>
      </c>
      <c r="BK34" s="4">
        <f t="shared" si="68"/>
        <v>0</v>
      </c>
      <c r="BL34" s="4">
        <f t="shared" si="68"/>
        <v>0</v>
      </c>
      <c r="BM34" s="4">
        <f t="shared" si="68"/>
        <v>0</v>
      </c>
      <c r="BN34" s="4">
        <f t="shared" si="68"/>
        <v>0</v>
      </c>
      <c r="BO34" s="4">
        <f t="shared" si="68"/>
        <v>0</v>
      </c>
      <c r="BP34" s="4">
        <f t="shared" si="68"/>
        <v>0</v>
      </c>
      <c r="BQ34" s="4">
        <f t="shared" si="68"/>
        <v>0</v>
      </c>
      <c r="BR34" s="4">
        <f t="shared" si="68"/>
        <v>1</v>
      </c>
      <c r="BS34" s="4">
        <f t="shared" si="68"/>
        <v>1</v>
      </c>
      <c r="BT34" s="4">
        <f t="shared" si="68"/>
        <v>1</v>
      </c>
      <c r="BU34" s="4">
        <f t="shared" si="68"/>
        <v>0</v>
      </c>
      <c r="BV34" s="4">
        <f t="shared" si="68"/>
        <v>0</v>
      </c>
      <c r="BW34" s="4">
        <f t="shared" si="68"/>
        <v>1</v>
      </c>
      <c r="BX34" s="4">
        <f t="shared" si="68"/>
        <v>0</v>
      </c>
      <c r="BY34" s="4">
        <f t="shared" si="68"/>
        <v>0</v>
      </c>
    </row>
    <row r="35">
      <c r="A35" s="1" t="s">
        <v>112</v>
      </c>
      <c r="B35" s="1" t="s">
        <v>75</v>
      </c>
      <c r="C35" s="1" t="s">
        <v>76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400.0</v>
      </c>
      <c r="K35" s="1">
        <v>300.0</v>
      </c>
      <c r="L35" s="1">
        <v>400.0</v>
      </c>
      <c r="M35" s="1">
        <v>300.0</v>
      </c>
      <c r="N35" s="1">
        <v>0.0</v>
      </c>
      <c r="O35" s="1">
        <v>0.0</v>
      </c>
      <c r="P35" s="1">
        <v>400.0</v>
      </c>
      <c r="Q35" s="1">
        <v>200.0</v>
      </c>
      <c r="R35" s="1">
        <v>300.0</v>
      </c>
      <c r="S35" s="1">
        <v>300.0</v>
      </c>
      <c r="T35" s="1">
        <v>100.0</v>
      </c>
      <c r="U35" s="1">
        <v>200.0</v>
      </c>
      <c r="V35" s="1">
        <v>200.0</v>
      </c>
      <c r="W35" s="1">
        <v>300.0</v>
      </c>
      <c r="X35" s="1">
        <v>100.0</v>
      </c>
      <c r="Y35" s="1">
        <v>100.0</v>
      </c>
      <c r="Z35" s="1">
        <v>200.0</v>
      </c>
      <c r="AA35" s="1">
        <v>200.0</v>
      </c>
      <c r="AB35" s="3">
        <f t="shared" si="3"/>
        <v>166.6666667</v>
      </c>
      <c r="AC35" s="4">
        <f t="shared" si="4"/>
        <v>146.4557113</v>
      </c>
      <c r="AD35" s="4">
        <f t="shared" ref="AD35:BA35" si="69">(D35-$AB35)/$AC35</f>
        <v>-1.138000459</v>
      </c>
      <c r="AE35" s="4">
        <f t="shared" si="69"/>
        <v>-1.138000459</v>
      </c>
      <c r="AF35" s="4">
        <f t="shared" si="69"/>
        <v>-1.138000459</v>
      </c>
      <c r="AG35" s="4">
        <f t="shared" si="69"/>
        <v>-1.138000459</v>
      </c>
      <c r="AH35" s="4">
        <f t="shared" si="69"/>
        <v>-1.138000459</v>
      </c>
      <c r="AI35" s="4">
        <f t="shared" si="69"/>
        <v>-1.138000459</v>
      </c>
      <c r="AJ35" s="4">
        <f t="shared" si="69"/>
        <v>1.593200643</v>
      </c>
      <c r="AK35" s="4">
        <f t="shared" si="69"/>
        <v>0.9104003673</v>
      </c>
      <c r="AL35" s="4">
        <f t="shared" si="69"/>
        <v>1.593200643</v>
      </c>
      <c r="AM35" s="4">
        <f t="shared" si="69"/>
        <v>0.9104003673</v>
      </c>
      <c r="AN35" s="4">
        <f t="shared" si="69"/>
        <v>-1.138000459</v>
      </c>
      <c r="AO35" s="4">
        <f t="shared" si="69"/>
        <v>-1.138000459</v>
      </c>
      <c r="AP35" s="4">
        <f t="shared" si="69"/>
        <v>1.593200643</v>
      </c>
      <c r="AQ35" s="4">
        <f t="shared" si="69"/>
        <v>0.2276000918</v>
      </c>
      <c r="AR35" s="4">
        <f t="shared" si="69"/>
        <v>0.9104003673</v>
      </c>
      <c r="AS35" s="4">
        <f t="shared" si="69"/>
        <v>0.9104003673</v>
      </c>
      <c r="AT35" s="4">
        <f t="shared" si="69"/>
        <v>-0.4552001837</v>
      </c>
      <c r="AU35" s="4">
        <f t="shared" si="69"/>
        <v>0.2276000918</v>
      </c>
      <c r="AV35" s="4">
        <f t="shared" si="69"/>
        <v>0.2276000918</v>
      </c>
      <c r="AW35" s="4">
        <f t="shared" si="69"/>
        <v>0.9104003673</v>
      </c>
      <c r="AX35" s="4">
        <f t="shared" si="69"/>
        <v>-0.4552001837</v>
      </c>
      <c r="AY35" s="4">
        <f t="shared" si="69"/>
        <v>-0.4552001837</v>
      </c>
      <c r="AZ35" s="4">
        <f t="shared" si="69"/>
        <v>0.2276000918</v>
      </c>
      <c r="BA35" s="4">
        <f t="shared" si="69"/>
        <v>0.2276000918</v>
      </c>
      <c r="BB35" s="4">
        <f t="shared" ref="BB35:BY35" si="70">IF(AD35&gt;=1,1,0)
</f>
        <v>0</v>
      </c>
      <c r="BC35" s="4">
        <f t="shared" si="70"/>
        <v>0</v>
      </c>
      <c r="BD35" s="4">
        <f t="shared" si="70"/>
        <v>0</v>
      </c>
      <c r="BE35" s="4">
        <f t="shared" si="70"/>
        <v>0</v>
      </c>
      <c r="BF35" s="4">
        <f t="shared" si="70"/>
        <v>0</v>
      </c>
      <c r="BG35" s="4">
        <f t="shared" si="70"/>
        <v>0</v>
      </c>
      <c r="BH35" s="4">
        <f t="shared" si="70"/>
        <v>1</v>
      </c>
      <c r="BI35" s="4">
        <f t="shared" si="70"/>
        <v>0</v>
      </c>
      <c r="BJ35" s="4">
        <f t="shared" si="70"/>
        <v>1</v>
      </c>
      <c r="BK35" s="4">
        <f t="shared" si="70"/>
        <v>0</v>
      </c>
      <c r="BL35" s="4">
        <f t="shared" si="70"/>
        <v>0</v>
      </c>
      <c r="BM35" s="4">
        <f t="shared" si="70"/>
        <v>0</v>
      </c>
      <c r="BN35" s="4">
        <f t="shared" si="70"/>
        <v>1</v>
      </c>
      <c r="BO35" s="4">
        <f t="shared" si="70"/>
        <v>0</v>
      </c>
      <c r="BP35" s="4">
        <f t="shared" si="70"/>
        <v>0</v>
      </c>
      <c r="BQ35" s="4">
        <f t="shared" si="70"/>
        <v>0</v>
      </c>
      <c r="BR35" s="4">
        <f t="shared" si="70"/>
        <v>0</v>
      </c>
      <c r="BS35" s="4">
        <f t="shared" si="70"/>
        <v>0</v>
      </c>
      <c r="BT35" s="4">
        <f t="shared" si="70"/>
        <v>0</v>
      </c>
      <c r="BU35" s="4">
        <f t="shared" si="70"/>
        <v>0</v>
      </c>
      <c r="BV35" s="4">
        <f t="shared" si="70"/>
        <v>0</v>
      </c>
      <c r="BW35" s="4">
        <f t="shared" si="70"/>
        <v>0</v>
      </c>
      <c r="BX35" s="4">
        <f t="shared" si="70"/>
        <v>0</v>
      </c>
      <c r="BY35" s="4">
        <f t="shared" si="70"/>
        <v>0</v>
      </c>
    </row>
    <row r="36">
      <c r="A36" s="1" t="s">
        <v>113</v>
      </c>
      <c r="B36" s="1" t="s">
        <v>69</v>
      </c>
      <c r="C36" s="1" t="s">
        <v>114</v>
      </c>
      <c r="D36" s="1">
        <v>100.0</v>
      </c>
      <c r="E36" s="1">
        <v>200.0</v>
      </c>
      <c r="F36" s="1">
        <v>400.0</v>
      </c>
      <c r="G36" s="1">
        <v>100.0</v>
      </c>
      <c r="H36" s="1">
        <v>100.0</v>
      </c>
      <c r="I36" s="1">
        <v>0.0</v>
      </c>
      <c r="J36" s="1">
        <v>200.0</v>
      </c>
      <c r="K36" s="1">
        <v>0.0</v>
      </c>
      <c r="L36" s="1">
        <v>100.0</v>
      </c>
      <c r="M36" s="1">
        <v>0.0</v>
      </c>
      <c r="N36" s="1">
        <v>0.0</v>
      </c>
      <c r="O36" s="1">
        <v>100.0</v>
      </c>
      <c r="P36" s="1">
        <v>200.0</v>
      </c>
      <c r="Q36" s="1">
        <v>300.0</v>
      </c>
      <c r="R36" s="1">
        <v>800.0</v>
      </c>
      <c r="S36" s="1">
        <v>600.0</v>
      </c>
      <c r="T36" s="1">
        <v>500.0</v>
      </c>
      <c r="U36" s="1">
        <v>100.0</v>
      </c>
      <c r="V36" s="1">
        <v>100.0</v>
      </c>
      <c r="W36" s="1">
        <v>0.0</v>
      </c>
      <c r="X36" s="1">
        <v>0.0</v>
      </c>
      <c r="Y36" s="1">
        <v>0.0</v>
      </c>
      <c r="Z36" s="1">
        <v>0.0</v>
      </c>
      <c r="AA36" s="1">
        <v>300.0</v>
      </c>
      <c r="AB36" s="3">
        <f t="shared" si="3"/>
        <v>175</v>
      </c>
      <c r="AC36" s="4">
        <f t="shared" si="4"/>
        <v>213.1543633</v>
      </c>
      <c r="AD36" s="4">
        <f t="shared" ref="AD36:BA36" si="71">(D36-$AB36)/$AC36</f>
        <v>-0.3518576811</v>
      </c>
      <c r="AE36" s="4">
        <f t="shared" si="71"/>
        <v>0.1172858937</v>
      </c>
      <c r="AF36" s="4">
        <f t="shared" si="71"/>
        <v>1.055573043</v>
      </c>
      <c r="AG36" s="4">
        <f t="shared" si="71"/>
        <v>-0.3518576811</v>
      </c>
      <c r="AH36" s="4">
        <f t="shared" si="71"/>
        <v>-0.3518576811</v>
      </c>
      <c r="AI36" s="4">
        <f t="shared" si="71"/>
        <v>-0.8210012559</v>
      </c>
      <c r="AJ36" s="4">
        <f t="shared" si="71"/>
        <v>0.1172858937</v>
      </c>
      <c r="AK36" s="4">
        <f t="shared" si="71"/>
        <v>-0.8210012559</v>
      </c>
      <c r="AL36" s="4">
        <f t="shared" si="71"/>
        <v>-0.3518576811</v>
      </c>
      <c r="AM36" s="4">
        <f t="shared" si="71"/>
        <v>-0.8210012559</v>
      </c>
      <c r="AN36" s="4">
        <f t="shared" si="71"/>
        <v>-0.8210012559</v>
      </c>
      <c r="AO36" s="4">
        <f t="shared" si="71"/>
        <v>-0.3518576811</v>
      </c>
      <c r="AP36" s="4">
        <f t="shared" si="71"/>
        <v>0.1172858937</v>
      </c>
      <c r="AQ36" s="4">
        <f t="shared" si="71"/>
        <v>0.5864294685</v>
      </c>
      <c r="AR36" s="4">
        <f t="shared" si="71"/>
        <v>2.932147343</v>
      </c>
      <c r="AS36" s="4">
        <f t="shared" si="71"/>
        <v>1.993860193</v>
      </c>
      <c r="AT36" s="4">
        <f t="shared" si="71"/>
        <v>1.524716618</v>
      </c>
      <c r="AU36" s="4">
        <f t="shared" si="71"/>
        <v>-0.3518576811</v>
      </c>
      <c r="AV36" s="4">
        <f t="shared" si="71"/>
        <v>-0.3518576811</v>
      </c>
      <c r="AW36" s="4">
        <f t="shared" si="71"/>
        <v>-0.8210012559</v>
      </c>
      <c r="AX36" s="4">
        <f t="shared" si="71"/>
        <v>-0.8210012559</v>
      </c>
      <c r="AY36" s="4">
        <f t="shared" si="71"/>
        <v>-0.8210012559</v>
      </c>
      <c r="AZ36" s="4">
        <f t="shared" si="71"/>
        <v>-0.8210012559</v>
      </c>
      <c r="BA36" s="4">
        <f t="shared" si="71"/>
        <v>0.5864294685</v>
      </c>
      <c r="BB36" s="4">
        <f t="shared" ref="BB36:BY36" si="72">IF(AD36&gt;=1,1,0)
</f>
        <v>0</v>
      </c>
      <c r="BC36" s="4">
        <f t="shared" si="72"/>
        <v>0</v>
      </c>
      <c r="BD36" s="4">
        <f t="shared" si="72"/>
        <v>1</v>
      </c>
      <c r="BE36" s="4">
        <f t="shared" si="72"/>
        <v>0</v>
      </c>
      <c r="BF36" s="4">
        <f t="shared" si="72"/>
        <v>0</v>
      </c>
      <c r="BG36" s="4">
        <f t="shared" si="72"/>
        <v>0</v>
      </c>
      <c r="BH36" s="4">
        <f t="shared" si="72"/>
        <v>0</v>
      </c>
      <c r="BI36" s="4">
        <f t="shared" si="72"/>
        <v>0</v>
      </c>
      <c r="BJ36" s="4">
        <f t="shared" si="72"/>
        <v>0</v>
      </c>
      <c r="BK36" s="4">
        <f t="shared" si="72"/>
        <v>0</v>
      </c>
      <c r="BL36" s="4">
        <f t="shared" si="72"/>
        <v>0</v>
      </c>
      <c r="BM36" s="4">
        <f t="shared" si="72"/>
        <v>0</v>
      </c>
      <c r="BN36" s="4">
        <f t="shared" si="72"/>
        <v>0</v>
      </c>
      <c r="BO36" s="4">
        <f t="shared" si="72"/>
        <v>0</v>
      </c>
      <c r="BP36" s="4">
        <f t="shared" si="72"/>
        <v>1</v>
      </c>
      <c r="BQ36" s="4">
        <f t="shared" si="72"/>
        <v>1</v>
      </c>
      <c r="BR36" s="4">
        <f t="shared" si="72"/>
        <v>1</v>
      </c>
      <c r="BS36" s="4">
        <f t="shared" si="72"/>
        <v>0</v>
      </c>
      <c r="BT36" s="4">
        <f t="shared" si="72"/>
        <v>0</v>
      </c>
      <c r="BU36" s="4">
        <f t="shared" si="72"/>
        <v>0</v>
      </c>
      <c r="BV36" s="4">
        <f t="shared" si="72"/>
        <v>0</v>
      </c>
      <c r="BW36" s="4">
        <f t="shared" si="72"/>
        <v>0</v>
      </c>
      <c r="BX36" s="4">
        <f t="shared" si="72"/>
        <v>0</v>
      </c>
      <c r="BY36" s="4">
        <f t="shared" si="72"/>
        <v>0</v>
      </c>
    </row>
    <row r="37">
      <c r="A37" s="1" t="s">
        <v>115</v>
      </c>
      <c r="B37" s="1" t="s">
        <v>63</v>
      </c>
      <c r="C37" s="1" t="s">
        <v>64</v>
      </c>
      <c r="D37" s="1">
        <v>122100.0</v>
      </c>
      <c r="E37" s="1">
        <v>205600.0</v>
      </c>
      <c r="F37" s="1">
        <v>221500.0</v>
      </c>
      <c r="G37" s="1">
        <v>137000.0</v>
      </c>
      <c r="H37" s="1">
        <v>167500.0</v>
      </c>
      <c r="I37" s="1">
        <v>174900.0</v>
      </c>
      <c r="J37" s="1">
        <v>257600.0</v>
      </c>
      <c r="K37" s="1">
        <v>318500.0</v>
      </c>
      <c r="L37" s="1">
        <v>503000.0</v>
      </c>
      <c r="M37" s="1">
        <v>350900.0</v>
      </c>
      <c r="N37" s="1">
        <v>212500.0</v>
      </c>
      <c r="O37" s="1">
        <v>274700.0</v>
      </c>
      <c r="P37" s="1">
        <v>266600.0</v>
      </c>
      <c r="Q37" s="1">
        <v>169100.0</v>
      </c>
      <c r="R37" s="1">
        <v>153900.0</v>
      </c>
      <c r="S37" s="1">
        <v>226800.0</v>
      </c>
      <c r="T37" s="1">
        <v>167600.0</v>
      </c>
      <c r="U37" s="1">
        <v>206400.0</v>
      </c>
      <c r="V37" s="1">
        <v>257600.0</v>
      </c>
      <c r="W37" s="1">
        <v>114700.0</v>
      </c>
      <c r="X37" s="1">
        <v>116000.0</v>
      </c>
      <c r="Y37" s="1">
        <v>176600.0</v>
      </c>
      <c r="Z37" s="1">
        <v>143900.0</v>
      </c>
      <c r="AA37" s="1">
        <v>133600.0</v>
      </c>
      <c r="AB37" s="3">
        <f t="shared" si="3"/>
        <v>211608.3333</v>
      </c>
      <c r="AC37" s="4">
        <f t="shared" si="4"/>
        <v>88891.11031</v>
      </c>
      <c r="AD37" s="4">
        <f t="shared" ref="AD37:BA37" si="73">(D37-$AB37)/$AC37</f>
        <v>-1.006943585</v>
      </c>
      <c r="AE37" s="4">
        <f t="shared" si="73"/>
        <v>-0.06759206081</v>
      </c>
      <c r="AF37" s="4">
        <f t="shared" si="73"/>
        <v>0.111278469</v>
      </c>
      <c r="AG37" s="4">
        <f t="shared" si="73"/>
        <v>-0.8393227745</v>
      </c>
      <c r="AH37" s="4">
        <f t="shared" si="73"/>
        <v>-0.4962063493</v>
      </c>
      <c r="AI37" s="4">
        <f t="shared" si="73"/>
        <v>-0.4129584297</v>
      </c>
      <c r="AJ37" s="4">
        <f t="shared" si="73"/>
        <v>0.5173933198</v>
      </c>
      <c r="AK37" s="4">
        <f t="shared" si="73"/>
        <v>1.202501198</v>
      </c>
      <c r="AL37" s="4">
        <f t="shared" si="73"/>
        <v>3.278074328</v>
      </c>
      <c r="AM37" s="4">
        <f t="shared" si="73"/>
        <v>1.566992089</v>
      </c>
      <c r="AN37" s="4">
        <f t="shared" si="73"/>
        <v>0.01003099932</v>
      </c>
      <c r="AO37" s="4">
        <f t="shared" si="73"/>
        <v>0.7097635123</v>
      </c>
      <c r="AP37" s="4">
        <f t="shared" si="73"/>
        <v>0.6186407895</v>
      </c>
      <c r="AQ37" s="4">
        <f t="shared" si="73"/>
        <v>-0.4782067991</v>
      </c>
      <c r="AR37" s="4">
        <f t="shared" si="73"/>
        <v>-0.6492025258</v>
      </c>
      <c r="AS37" s="4">
        <f t="shared" si="73"/>
        <v>0.170901979</v>
      </c>
      <c r="AT37" s="4">
        <f t="shared" si="73"/>
        <v>-0.4950813774</v>
      </c>
      <c r="AU37" s="4">
        <f t="shared" si="73"/>
        <v>-0.05859228572</v>
      </c>
      <c r="AV37" s="4">
        <f t="shared" si="73"/>
        <v>0.5173933198</v>
      </c>
      <c r="AW37" s="4">
        <f t="shared" si="73"/>
        <v>-1.090191505</v>
      </c>
      <c r="AX37" s="4">
        <f t="shared" si="73"/>
        <v>-1.07556687</v>
      </c>
      <c r="AY37" s="4">
        <f t="shared" si="73"/>
        <v>-0.3938339077</v>
      </c>
      <c r="AZ37" s="4">
        <f t="shared" si="73"/>
        <v>-0.7616997143</v>
      </c>
      <c r="BA37" s="4">
        <f t="shared" si="73"/>
        <v>-0.8775718186</v>
      </c>
      <c r="BB37" s="4">
        <f t="shared" ref="BB37:BY37" si="74">IF(AD37&gt;=1,1,0)
</f>
        <v>0</v>
      </c>
      <c r="BC37" s="4">
        <f t="shared" si="74"/>
        <v>0</v>
      </c>
      <c r="BD37" s="4">
        <f t="shared" si="74"/>
        <v>0</v>
      </c>
      <c r="BE37" s="4">
        <f t="shared" si="74"/>
        <v>0</v>
      </c>
      <c r="BF37" s="4">
        <f t="shared" si="74"/>
        <v>0</v>
      </c>
      <c r="BG37" s="4">
        <f t="shared" si="74"/>
        <v>0</v>
      </c>
      <c r="BH37" s="4">
        <f t="shared" si="74"/>
        <v>0</v>
      </c>
      <c r="BI37" s="4">
        <f t="shared" si="74"/>
        <v>1</v>
      </c>
      <c r="BJ37" s="4">
        <f t="shared" si="74"/>
        <v>1</v>
      </c>
      <c r="BK37" s="4">
        <f t="shared" si="74"/>
        <v>1</v>
      </c>
      <c r="BL37" s="4">
        <f t="shared" si="74"/>
        <v>0</v>
      </c>
      <c r="BM37" s="4">
        <f t="shared" si="74"/>
        <v>0</v>
      </c>
      <c r="BN37" s="4">
        <f t="shared" si="74"/>
        <v>0</v>
      </c>
      <c r="BO37" s="4">
        <f t="shared" si="74"/>
        <v>0</v>
      </c>
      <c r="BP37" s="4">
        <f t="shared" si="74"/>
        <v>0</v>
      </c>
      <c r="BQ37" s="4">
        <f t="shared" si="74"/>
        <v>0</v>
      </c>
      <c r="BR37" s="4">
        <f t="shared" si="74"/>
        <v>0</v>
      </c>
      <c r="BS37" s="4">
        <f t="shared" si="74"/>
        <v>0</v>
      </c>
      <c r="BT37" s="4">
        <f t="shared" si="74"/>
        <v>0</v>
      </c>
      <c r="BU37" s="4">
        <f t="shared" si="74"/>
        <v>0</v>
      </c>
      <c r="BV37" s="4">
        <f t="shared" si="74"/>
        <v>0</v>
      </c>
      <c r="BW37" s="4">
        <f t="shared" si="74"/>
        <v>0</v>
      </c>
      <c r="BX37" s="4">
        <f t="shared" si="74"/>
        <v>0</v>
      </c>
      <c r="BY37" s="4">
        <f t="shared" si="74"/>
        <v>0</v>
      </c>
    </row>
    <row r="38">
      <c r="A38" s="1" t="s">
        <v>116</v>
      </c>
      <c r="B38" s="1" t="s">
        <v>63</v>
      </c>
      <c r="C38" s="1" t="s">
        <v>64</v>
      </c>
      <c r="D38" s="1">
        <v>66900.0</v>
      </c>
      <c r="E38" s="1">
        <v>92700.0</v>
      </c>
      <c r="F38" s="1">
        <v>75400.0</v>
      </c>
      <c r="G38" s="1">
        <v>64400.0</v>
      </c>
      <c r="H38" s="1">
        <v>101500.0</v>
      </c>
      <c r="I38" s="1">
        <v>125200.0</v>
      </c>
      <c r="J38" s="1">
        <v>118500.0</v>
      </c>
      <c r="K38" s="1">
        <v>127600.0</v>
      </c>
      <c r="L38" s="1">
        <v>98300.0</v>
      </c>
      <c r="M38" s="1">
        <v>160800.0</v>
      </c>
      <c r="N38" s="1">
        <v>129200.0</v>
      </c>
      <c r="O38" s="1">
        <v>176800.0</v>
      </c>
      <c r="P38" s="1">
        <v>150200.0</v>
      </c>
      <c r="Q38" s="1">
        <v>69400.0</v>
      </c>
      <c r="R38" s="1">
        <v>80400.0</v>
      </c>
      <c r="S38" s="1">
        <v>87900.0</v>
      </c>
      <c r="T38" s="1">
        <v>85800.0</v>
      </c>
      <c r="U38" s="1">
        <v>131500.0</v>
      </c>
      <c r="V38" s="1">
        <v>116100.0</v>
      </c>
      <c r="W38" s="1">
        <v>57200.0</v>
      </c>
      <c r="X38" s="1">
        <v>53300.0</v>
      </c>
      <c r="Y38" s="1">
        <v>74000.0</v>
      </c>
      <c r="Z38" s="1">
        <v>53600.0</v>
      </c>
      <c r="AA38" s="1">
        <v>54300.0</v>
      </c>
      <c r="AB38" s="3">
        <f t="shared" si="3"/>
        <v>97958.33333</v>
      </c>
      <c r="AC38" s="4">
        <f t="shared" si="4"/>
        <v>35803.4115</v>
      </c>
      <c r="AD38" s="4">
        <f t="shared" ref="AD38:BA38" si="75">(D38-$AB38)/$AC38</f>
        <v>-0.8674685464</v>
      </c>
      <c r="AE38" s="4">
        <f t="shared" si="75"/>
        <v>-0.1468668239</v>
      </c>
      <c r="AF38" s="4">
        <f t="shared" si="75"/>
        <v>-0.6300610022</v>
      </c>
      <c r="AG38" s="4">
        <f t="shared" si="75"/>
        <v>-0.9372942947</v>
      </c>
      <c r="AH38" s="4">
        <f t="shared" si="75"/>
        <v>0.09891981009</v>
      </c>
      <c r="AI38" s="4">
        <f t="shared" si="75"/>
        <v>0.760867904</v>
      </c>
      <c r="AJ38" s="4">
        <f t="shared" si="75"/>
        <v>0.5737348985</v>
      </c>
      <c r="AK38" s="4">
        <f t="shared" si="75"/>
        <v>0.8279006223</v>
      </c>
      <c r="AL38" s="4">
        <f t="shared" si="75"/>
        <v>0.009542852268</v>
      </c>
      <c r="AM38" s="4">
        <f t="shared" si="75"/>
        <v>1.75518656</v>
      </c>
      <c r="AN38" s="4">
        <f t="shared" si="75"/>
        <v>0.8725891013</v>
      </c>
      <c r="AO38" s="4">
        <f t="shared" si="75"/>
        <v>2.202071349</v>
      </c>
      <c r="AP38" s="4">
        <f t="shared" si="75"/>
        <v>1.459125387</v>
      </c>
      <c r="AQ38" s="4">
        <f t="shared" si="75"/>
        <v>-0.7976427981</v>
      </c>
      <c r="AR38" s="4">
        <f t="shared" si="75"/>
        <v>-0.4904095056</v>
      </c>
      <c r="AS38" s="4">
        <f t="shared" si="75"/>
        <v>-0.2809322607</v>
      </c>
      <c r="AT38" s="4">
        <f t="shared" si="75"/>
        <v>-0.3395858892</v>
      </c>
      <c r="AU38" s="4">
        <f t="shared" si="75"/>
        <v>0.9368287897</v>
      </c>
      <c r="AV38" s="4">
        <f t="shared" si="75"/>
        <v>0.5067021802</v>
      </c>
      <c r="AW38" s="4">
        <f t="shared" si="75"/>
        <v>-1.13839245</v>
      </c>
      <c r="AX38" s="4">
        <f t="shared" si="75"/>
        <v>-1.247320617</v>
      </c>
      <c r="AY38" s="4">
        <f t="shared" si="75"/>
        <v>-0.6691634212</v>
      </c>
      <c r="AZ38" s="4">
        <f t="shared" si="75"/>
        <v>-1.238941527</v>
      </c>
      <c r="BA38" s="4">
        <f t="shared" si="75"/>
        <v>-1.219390318</v>
      </c>
      <c r="BB38" s="4">
        <f t="shared" ref="BB38:BY38" si="76">IF(AD38&gt;=1,1,0)
</f>
        <v>0</v>
      </c>
      <c r="BC38" s="4">
        <f t="shared" si="76"/>
        <v>0</v>
      </c>
      <c r="BD38" s="4">
        <f t="shared" si="76"/>
        <v>0</v>
      </c>
      <c r="BE38" s="4">
        <f t="shared" si="76"/>
        <v>0</v>
      </c>
      <c r="BF38" s="4">
        <f t="shared" si="76"/>
        <v>0</v>
      </c>
      <c r="BG38" s="4">
        <f t="shared" si="76"/>
        <v>0</v>
      </c>
      <c r="BH38" s="4">
        <f t="shared" si="76"/>
        <v>0</v>
      </c>
      <c r="BI38" s="4">
        <f t="shared" si="76"/>
        <v>0</v>
      </c>
      <c r="BJ38" s="4">
        <f t="shared" si="76"/>
        <v>0</v>
      </c>
      <c r="BK38" s="4">
        <f t="shared" si="76"/>
        <v>1</v>
      </c>
      <c r="BL38" s="4">
        <f t="shared" si="76"/>
        <v>0</v>
      </c>
      <c r="BM38" s="4">
        <f t="shared" si="76"/>
        <v>1</v>
      </c>
      <c r="BN38" s="4">
        <f t="shared" si="76"/>
        <v>1</v>
      </c>
      <c r="BO38" s="4">
        <f t="shared" si="76"/>
        <v>0</v>
      </c>
      <c r="BP38" s="4">
        <f t="shared" si="76"/>
        <v>0</v>
      </c>
      <c r="BQ38" s="4">
        <f t="shared" si="76"/>
        <v>0</v>
      </c>
      <c r="BR38" s="4">
        <f t="shared" si="76"/>
        <v>0</v>
      </c>
      <c r="BS38" s="4">
        <f t="shared" si="76"/>
        <v>0</v>
      </c>
      <c r="BT38" s="4">
        <f t="shared" si="76"/>
        <v>0</v>
      </c>
      <c r="BU38" s="4">
        <f t="shared" si="76"/>
        <v>0</v>
      </c>
      <c r="BV38" s="4">
        <f t="shared" si="76"/>
        <v>0</v>
      </c>
      <c r="BW38" s="4">
        <f t="shared" si="76"/>
        <v>0</v>
      </c>
      <c r="BX38" s="4">
        <f t="shared" si="76"/>
        <v>0</v>
      </c>
      <c r="BY38" s="4">
        <f t="shared" si="76"/>
        <v>0</v>
      </c>
    </row>
    <row r="39">
      <c r="A39" s="1" t="s">
        <v>117</v>
      </c>
      <c r="B39" s="1" t="s">
        <v>63</v>
      </c>
      <c r="C39" s="1" t="s">
        <v>64</v>
      </c>
      <c r="D39" s="1">
        <v>4045800.0</v>
      </c>
      <c r="E39" s="1">
        <v>5445700.0</v>
      </c>
      <c r="F39" s="1">
        <v>2884300.0</v>
      </c>
      <c r="G39" s="1">
        <v>2610800.0</v>
      </c>
      <c r="H39" s="1">
        <v>3841800.0</v>
      </c>
      <c r="I39" s="1">
        <v>5211000.0</v>
      </c>
      <c r="J39" s="1">
        <v>3755500.0</v>
      </c>
      <c r="K39" s="1">
        <v>4238000.0</v>
      </c>
      <c r="L39" s="1">
        <v>4418600.0</v>
      </c>
      <c r="M39" s="1">
        <v>7299800.0</v>
      </c>
      <c r="N39" s="1">
        <v>4241300.0</v>
      </c>
      <c r="O39" s="1">
        <v>3943400.0</v>
      </c>
      <c r="P39" s="1">
        <v>3270100.0</v>
      </c>
      <c r="Q39" s="1">
        <v>3760300.0</v>
      </c>
      <c r="R39" s="1">
        <v>2937900.0</v>
      </c>
      <c r="S39" s="1">
        <v>3739200.0</v>
      </c>
      <c r="T39" s="1">
        <v>3393300.0</v>
      </c>
      <c r="U39" s="1">
        <v>3783600.0</v>
      </c>
      <c r="V39" s="1">
        <v>9428500.0</v>
      </c>
      <c r="W39" s="1">
        <v>2021800.0</v>
      </c>
      <c r="X39" s="1">
        <v>1675800.0</v>
      </c>
      <c r="Y39" s="1">
        <v>2441800.0</v>
      </c>
      <c r="Z39" s="1">
        <v>1661800.0</v>
      </c>
      <c r="AA39" s="1">
        <v>1490800.0</v>
      </c>
      <c r="AB39" s="3">
        <f t="shared" si="3"/>
        <v>3814204.167</v>
      </c>
      <c r="AC39" s="4">
        <f t="shared" si="4"/>
        <v>1773572.617</v>
      </c>
      <c r="AD39" s="4">
        <f t="shared" ref="AD39:BA39" si="77">(D39-$AB39)/$AC39</f>
        <v>0.1305815342</v>
      </c>
      <c r="AE39" s="4">
        <f t="shared" si="77"/>
        <v>0.9198923222</v>
      </c>
      <c r="AF39" s="4">
        <f t="shared" si="77"/>
        <v>-0.5243113012</v>
      </c>
      <c r="AG39" s="4">
        <f t="shared" si="77"/>
        <v>-0.6785198165</v>
      </c>
      <c r="AH39" s="4">
        <f t="shared" si="77"/>
        <v>0.01555946064</v>
      </c>
      <c r="AI39" s="4">
        <f t="shared" si="77"/>
        <v>0.7875605542</v>
      </c>
      <c r="AJ39" s="4">
        <f t="shared" si="77"/>
        <v>-0.03309938714</v>
      </c>
      <c r="AK39" s="4">
        <f t="shared" si="77"/>
        <v>0.2389503701</v>
      </c>
      <c r="AL39" s="4">
        <f t="shared" si="77"/>
        <v>0.3407787352</v>
      </c>
      <c r="AM39" s="4">
        <f t="shared" si="77"/>
        <v>1.965296374</v>
      </c>
      <c r="AN39" s="4">
        <f t="shared" si="77"/>
        <v>0.2408110213</v>
      </c>
      <c r="AO39" s="4">
        <f t="shared" si="77"/>
        <v>0.07284496394</v>
      </c>
      <c r="AP39" s="4">
        <f t="shared" si="77"/>
        <v>-0.3067842621</v>
      </c>
      <c r="AQ39" s="4">
        <f t="shared" si="77"/>
        <v>-0.0303929854</v>
      </c>
      <c r="AR39" s="4">
        <f t="shared" si="77"/>
        <v>-0.4940898152</v>
      </c>
      <c r="AS39" s="4">
        <f t="shared" si="77"/>
        <v>-0.04228987634</v>
      </c>
      <c r="AT39" s="4">
        <f t="shared" si="77"/>
        <v>-0.237319951</v>
      </c>
      <c r="AU39" s="4">
        <f t="shared" si="77"/>
        <v>-0.01725566034</v>
      </c>
      <c r="AV39" s="4">
        <f t="shared" si="77"/>
        <v>3.165529158</v>
      </c>
      <c r="AW39" s="4">
        <f t="shared" si="77"/>
        <v>-1.010617862</v>
      </c>
      <c r="AX39" s="4">
        <f t="shared" si="77"/>
        <v>-1.20570432</v>
      </c>
      <c r="AY39" s="4">
        <f t="shared" si="77"/>
        <v>-0.7738077107</v>
      </c>
      <c r="AZ39" s="4">
        <f t="shared" si="77"/>
        <v>-1.213597992</v>
      </c>
      <c r="BA39" s="4">
        <f t="shared" si="77"/>
        <v>-1.310013554</v>
      </c>
      <c r="BB39" s="4">
        <f t="shared" ref="BB39:BY39" si="78">IF(AD39&gt;=1,1,0)
</f>
        <v>0</v>
      </c>
      <c r="BC39" s="4">
        <f t="shared" si="78"/>
        <v>0</v>
      </c>
      <c r="BD39" s="4">
        <f t="shared" si="78"/>
        <v>0</v>
      </c>
      <c r="BE39" s="4">
        <f t="shared" si="78"/>
        <v>0</v>
      </c>
      <c r="BF39" s="4">
        <f t="shared" si="78"/>
        <v>0</v>
      </c>
      <c r="BG39" s="4">
        <f t="shared" si="78"/>
        <v>0</v>
      </c>
      <c r="BH39" s="4">
        <f t="shared" si="78"/>
        <v>0</v>
      </c>
      <c r="BI39" s="4">
        <f t="shared" si="78"/>
        <v>0</v>
      </c>
      <c r="BJ39" s="4">
        <f t="shared" si="78"/>
        <v>0</v>
      </c>
      <c r="BK39" s="4">
        <f t="shared" si="78"/>
        <v>1</v>
      </c>
      <c r="BL39" s="4">
        <f t="shared" si="78"/>
        <v>0</v>
      </c>
      <c r="BM39" s="4">
        <f t="shared" si="78"/>
        <v>0</v>
      </c>
      <c r="BN39" s="4">
        <f t="shared" si="78"/>
        <v>0</v>
      </c>
      <c r="BO39" s="4">
        <f t="shared" si="78"/>
        <v>0</v>
      </c>
      <c r="BP39" s="4">
        <f t="shared" si="78"/>
        <v>0</v>
      </c>
      <c r="BQ39" s="4">
        <f t="shared" si="78"/>
        <v>0</v>
      </c>
      <c r="BR39" s="4">
        <f t="shared" si="78"/>
        <v>0</v>
      </c>
      <c r="BS39" s="4">
        <f t="shared" si="78"/>
        <v>0</v>
      </c>
      <c r="BT39" s="4">
        <f t="shared" si="78"/>
        <v>1</v>
      </c>
      <c r="BU39" s="4">
        <f t="shared" si="78"/>
        <v>0</v>
      </c>
      <c r="BV39" s="4">
        <f t="shared" si="78"/>
        <v>0</v>
      </c>
      <c r="BW39" s="4">
        <f t="shared" si="78"/>
        <v>0</v>
      </c>
      <c r="BX39" s="4">
        <f t="shared" si="78"/>
        <v>0</v>
      </c>
      <c r="BY39" s="4">
        <f t="shared" si="78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75"/>
  </cols>
  <sheetData>
    <row r="1">
      <c r="A1" s="1" t="s">
        <v>0</v>
      </c>
      <c r="B1" s="1" t="s">
        <v>1</v>
      </c>
      <c r="C1" s="1" t="s">
        <v>2</v>
      </c>
      <c r="D1" s="2">
        <v>45261.0</v>
      </c>
      <c r="E1" s="2">
        <v>45292.0</v>
      </c>
      <c r="F1" s="2">
        <v>45323.0</v>
      </c>
      <c r="G1" s="2">
        <v>45352.0</v>
      </c>
      <c r="H1" s="2">
        <v>45383.0</v>
      </c>
      <c r="I1" s="2">
        <v>45413.0</v>
      </c>
      <c r="J1" s="2">
        <v>45444.0</v>
      </c>
      <c r="K1" s="2">
        <v>45474.0</v>
      </c>
      <c r="L1" s="2">
        <v>45505.0</v>
      </c>
      <c r="M1" s="2">
        <v>45536.0</v>
      </c>
      <c r="N1" s="2">
        <v>45566.0</v>
      </c>
      <c r="O1" s="2">
        <v>45597.0</v>
      </c>
      <c r="P1" s="2">
        <v>45627.0</v>
      </c>
      <c r="Q1" s="2">
        <v>45658.0</v>
      </c>
      <c r="R1" s="2">
        <v>45689.0</v>
      </c>
      <c r="S1" s="2">
        <v>45717.0</v>
      </c>
      <c r="T1" s="2">
        <v>45748.0</v>
      </c>
      <c r="U1" s="2">
        <v>45778.0</v>
      </c>
      <c r="V1" s="2">
        <v>45809.0</v>
      </c>
      <c r="W1" s="2">
        <v>45839.0</v>
      </c>
      <c r="X1" s="2">
        <v>45870.0</v>
      </c>
      <c r="Y1" s="2">
        <v>45901.0</v>
      </c>
      <c r="Z1" s="2">
        <v>45931.0</v>
      </c>
      <c r="AA1" s="2">
        <v>45962.0</v>
      </c>
      <c r="AB1" s="1" t="s">
        <v>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  <c r="AX1" s="1" t="s">
        <v>25</v>
      </c>
      <c r="AY1" s="1" t="s">
        <v>26</v>
      </c>
      <c r="AZ1" s="1" t="s">
        <v>27</v>
      </c>
      <c r="BA1" s="1" t="s">
        <v>28</v>
      </c>
      <c r="BB1" s="1" t="s">
        <v>29</v>
      </c>
      <c r="BC1" s="1" t="s">
        <v>30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43</v>
      </c>
      <c r="BQ1" s="1" t="s">
        <v>44</v>
      </c>
      <c r="BR1" s="1" t="s">
        <v>45</v>
      </c>
      <c r="BS1" s="1" t="s">
        <v>46</v>
      </c>
      <c r="BT1" s="1" t="s">
        <v>47</v>
      </c>
      <c r="BU1" s="1" t="s">
        <v>48</v>
      </c>
      <c r="BV1" s="1" t="s">
        <v>49</v>
      </c>
      <c r="BW1" s="1" t="s">
        <v>50</v>
      </c>
      <c r="BX1" s="1" t="s">
        <v>51</v>
      </c>
      <c r="BY1" s="1" t="s">
        <v>52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>
      <c r="A2" s="1" t="s">
        <v>53</v>
      </c>
      <c r="B2" s="1" t="s">
        <v>54</v>
      </c>
      <c r="C2" s="1" t="s">
        <v>55</v>
      </c>
      <c r="D2" s="1">
        <v>53630.0</v>
      </c>
      <c r="E2" s="1">
        <v>76310.0</v>
      </c>
      <c r="F2" s="1">
        <v>131210.0</v>
      </c>
      <c r="G2" s="1">
        <v>250770.0</v>
      </c>
      <c r="H2" s="1">
        <v>950880.0</v>
      </c>
      <c r="I2" s="1">
        <v>758230.0</v>
      </c>
      <c r="J2" s="1">
        <v>839930.0</v>
      </c>
      <c r="K2" s="1">
        <v>1661390.0</v>
      </c>
      <c r="L2" s="1">
        <v>3481660.0</v>
      </c>
      <c r="M2" s="1">
        <v>9310410.0</v>
      </c>
      <c r="N2" s="1">
        <v>2.490225E7</v>
      </c>
      <c r="O2" s="1">
        <v>2.849524E7</v>
      </c>
      <c r="P2" s="1">
        <v>2.865003E7</v>
      </c>
      <c r="Q2" s="1">
        <v>2.920321E7</v>
      </c>
      <c r="R2" s="1">
        <v>2.424908E7</v>
      </c>
      <c r="S2" s="1">
        <v>2.993546E7</v>
      </c>
      <c r="T2" s="1">
        <v>3.173078E7</v>
      </c>
      <c r="U2" s="1">
        <v>5.041959E7</v>
      </c>
      <c r="V2" s="1">
        <v>1.0933691E8</v>
      </c>
      <c r="W2" s="1">
        <v>1.1476148E8</v>
      </c>
      <c r="X2" s="1">
        <v>8.05567E7</v>
      </c>
      <c r="Y2" s="1">
        <v>5.296194E7</v>
      </c>
      <c r="Z2" s="1">
        <v>4.109902E7</v>
      </c>
      <c r="AA2" s="1">
        <v>2.790581E7</v>
      </c>
      <c r="AB2" s="3">
        <f t="shared" ref="AB2:AB39" si="3">AVERAGE(D2:AA2)
</f>
        <v>28821746.67</v>
      </c>
      <c r="AC2" s="4">
        <f t="shared" ref="AC2:AC39" si="4">STDEV(D2:AA2)</f>
        <v>33096075.39</v>
      </c>
      <c r="AD2" s="4">
        <f t="shared" ref="AD2:BA2" si="1">(D2-$AB2)/$AC2</f>
        <v>-0.8692304548</v>
      </c>
      <c r="AE2" s="4">
        <f t="shared" si="1"/>
        <v>-0.8685451772</v>
      </c>
      <c r="AF2" s="4">
        <f t="shared" si="1"/>
        <v>-0.8668863702</v>
      </c>
      <c r="AG2" s="4">
        <f t="shared" si="1"/>
        <v>-0.8632738573</v>
      </c>
      <c r="AH2" s="4">
        <f t="shared" si="1"/>
        <v>-0.8421199896</v>
      </c>
      <c r="AI2" s="4">
        <f t="shared" si="1"/>
        <v>-0.8479409215</v>
      </c>
      <c r="AJ2" s="4">
        <f t="shared" si="1"/>
        <v>-0.8454723509</v>
      </c>
      <c r="AK2" s="4">
        <f t="shared" si="1"/>
        <v>-0.8206518853</v>
      </c>
      <c r="AL2" s="4">
        <f t="shared" si="1"/>
        <v>-0.7656523127</v>
      </c>
      <c r="AM2" s="4">
        <f t="shared" si="1"/>
        <v>-0.5895362648</v>
      </c>
      <c r="AN2" s="4">
        <f t="shared" si="1"/>
        <v>-0.1184278384</v>
      </c>
      <c r="AO2" s="4">
        <f t="shared" si="1"/>
        <v>-0.009865419473</v>
      </c>
      <c r="AP2" s="4">
        <f t="shared" si="1"/>
        <v>-0.005188429886</v>
      </c>
      <c r="AQ2" s="4">
        <f t="shared" si="1"/>
        <v>0.01152593861</v>
      </c>
      <c r="AR2" s="4">
        <f t="shared" si="1"/>
        <v>-0.138163411</v>
      </c>
      <c r="AS2" s="4">
        <f t="shared" si="1"/>
        <v>0.03365091843</v>
      </c>
      <c r="AT2" s="4">
        <f t="shared" si="1"/>
        <v>0.08789662517</v>
      </c>
      <c r="AU2" s="4">
        <f t="shared" si="1"/>
        <v>0.652580195</v>
      </c>
      <c r="AV2" s="4">
        <f t="shared" si="1"/>
        <v>2.432770725</v>
      </c>
      <c r="AW2" s="4">
        <f t="shared" si="1"/>
        <v>2.596674449</v>
      </c>
      <c r="AX2" s="4">
        <f t="shared" si="1"/>
        <v>1.56317487</v>
      </c>
      <c r="AY2" s="4">
        <f t="shared" si="1"/>
        <v>0.7293974602</v>
      </c>
      <c r="AZ2" s="4">
        <f t="shared" si="1"/>
        <v>0.3709585861</v>
      </c>
      <c r="BA2" s="4">
        <f t="shared" si="1"/>
        <v>-0.027675084</v>
      </c>
      <c r="BB2" s="4">
        <f t="shared" ref="BB2:BY2" si="2">IF(AD2&gt;=1,1,0)
</f>
        <v>0</v>
      </c>
      <c r="BC2" s="4">
        <f t="shared" si="2"/>
        <v>0</v>
      </c>
      <c r="BD2" s="4">
        <f t="shared" si="2"/>
        <v>0</v>
      </c>
      <c r="BE2" s="4">
        <f t="shared" si="2"/>
        <v>0</v>
      </c>
      <c r="BF2" s="4">
        <f t="shared" si="2"/>
        <v>0</v>
      </c>
      <c r="BG2" s="4">
        <f t="shared" si="2"/>
        <v>0</v>
      </c>
      <c r="BH2" s="4">
        <f t="shared" si="2"/>
        <v>0</v>
      </c>
      <c r="BI2" s="4">
        <f t="shared" si="2"/>
        <v>0</v>
      </c>
      <c r="BJ2" s="4">
        <f t="shared" si="2"/>
        <v>0</v>
      </c>
      <c r="BK2" s="4">
        <f t="shared" si="2"/>
        <v>0</v>
      </c>
      <c r="BL2" s="4">
        <f t="shared" si="2"/>
        <v>0</v>
      </c>
      <c r="BM2" s="4">
        <f t="shared" si="2"/>
        <v>0</v>
      </c>
      <c r="BN2" s="4">
        <f t="shared" si="2"/>
        <v>0</v>
      </c>
      <c r="BO2" s="4">
        <f t="shared" si="2"/>
        <v>0</v>
      </c>
      <c r="BP2" s="4">
        <f t="shared" si="2"/>
        <v>0</v>
      </c>
      <c r="BQ2" s="4">
        <f t="shared" si="2"/>
        <v>0</v>
      </c>
      <c r="BR2" s="4">
        <f t="shared" si="2"/>
        <v>0</v>
      </c>
      <c r="BS2" s="4">
        <f t="shared" si="2"/>
        <v>0</v>
      </c>
      <c r="BT2" s="4">
        <f t="shared" si="2"/>
        <v>1</v>
      </c>
      <c r="BU2" s="4">
        <f t="shared" si="2"/>
        <v>1</v>
      </c>
      <c r="BV2" s="4">
        <f t="shared" si="2"/>
        <v>1</v>
      </c>
      <c r="BW2" s="4">
        <f t="shared" si="2"/>
        <v>0</v>
      </c>
      <c r="BX2" s="4">
        <f t="shared" si="2"/>
        <v>0</v>
      </c>
      <c r="BY2" s="4">
        <f t="shared" si="2"/>
        <v>0</v>
      </c>
    </row>
    <row r="3">
      <c r="A3" s="1" t="s">
        <v>56</v>
      </c>
      <c r="B3" s="1" t="s">
        <v>54</v>
      </c>
      <c r="C3" s="1" t="s">
        <v>57</v>
      </c>
      <c r="D3" s="1">
        <v>3041810.0</v>
      </c>
      <c r="E3" s="1">
        <v>3743280.0</v>
      </c>
      <c r="F3" s="1">
        <v>3731610.0</v>
      </c>
      <c r="G3" s="1">
        <v>4368820.0</v>
      </c>
      <c r="H3" s="1">
        <v>5564160.0</v>
      </c>
      <c r="I3" s="1">
        <v>5943940.0</v>
      </c>
      <c r="J3" s="1">
        <v>5568430.0</v>
      </c>
      <c r="K3" s="1">
        <v>5880300.0</v>
      </c>
      <c r="L3" s="1">
        <v>5843390.0</v>
      </c>
      <c r="M3" s="1">
        <v>6268020.0</v>
      </c>
      <c r="N3" s="1">
        <v>6809440.0</v>
      </c>
      <c r="O3" s="1">
        <v>7282610.0</v>
      </c>
      <c r="P3" s="1">
        <v>6997900.0</v>
      </c>
      <c r="Q3" s="1">
        <v>7456720.0</v>
      </c>
      <c r="R3" s="1">
        <v>6671560.0</v>
      </c>
      <c r="S3" s="1">
        <v>8097980.0</v>
      </c>
      <c r="T3" s="1">
        <v>8211470.0</v>
      </c>
      <c r="U3" s="1">
        <v>7837850.0</v>
      </c>
      <c r="V3" s="1">
        <v>7589470.0</v>
      </c>
      <c r="W3" s="1">
        <v>7982540.0</v>
      </c>
      <c r="X3" s="1">
        <v>9210090.0</v>
      </c>
      <c r="Y3" s="1">
        <v>8537740.0</v>
      </c>
      <c r="Z3" s="1">
        <v>8128520.0</v>
      </c>
      <c r="AA3" s="1">
        <v>8097840.0</v>
      </c>
      <c r="AB3" s="3">
        <f t="shared" si="3"/>
        <v>6619395.417</v>
      </c>
      <c r="AC3" s="4">
        <f t="shared" si="4"/>
        <v>1662954.099</v>
      </c>
      <c r="AD3" s="4">
        <f t="shared" ref="AD3:BA3" si="5">(D3-$AB3)/$AC3</f>
        <v>-2.151343454</v>
      </c>
      <c r="AE3" s="4">
        <f t="shared" si="5"/>
        <v>-1.72952183</v>
      </c>
      <c r="AF3" s="4">
        <f t="shared" si="5"/>
        <v>-1.736539462</v>
      </c>
      <c r="AG3" s="4">
        <f t="shared" si="5"/>
        <v>-1.353359914</v>
      </c>
      <c r="AH3" s="4">
        <f t="shared" si="5"/>
        <v>-0.6345547463</v>
      </c>
      <c r="AI3" s="4">
        <f t="shared" si="5"/>
        <v>-0.406178028</v>
      </c>
      <c r="AJ3" s="4">
        <f t="shared" si="5"/>
        <v>-0.6319870266</v>
      </c>
      <c r="AK3" s="4">
        <f t="shared" si="5"/>
        <v>-0.4444472743</v>
      </c>
      <c r="AL3" s="4">
        <f t="shared" si="5"/>
        <v>-0.4666427155</v>
      </c>
      <c r="AM3" s="4">
        <f t="shared" si="5"/>
        <v>-0.2112959202</v>
      </c>
      <c r="AN3" s="4">
        <f t="shared" si="5"/>
        <v>0.1142813162</v>
      </c>
      <c r="AO3" s="4">
        <f t="shared" si="5"/>
        <v>0.3988171313</v>
      </c>
      <c r="AP3" s="4">
        <f t="shared" si="5"/>
        <v>0.2276097599</v>
      </c>
      <c r="AQ3" s="4">
        <f t="shared" si="5"/>
        <v>0.503516353</v>
      </c>
      <c r="AR3" s="4">
        <f t="shared" si="5"/>
        <v>0.03136862488</v>
      </c>
      <c r="AS3" s="4">
        <f t="shared" si="5"/>
        <v>0.889131326</v>
      </c>
      <c r="AT3" s="4">
        <f t="shared" si="5"/>
        <v>0.9573773467</v>
      </c>
      <c r="AU3" s="4">
        <f t="shared" si="5"/>
        <v>0.7327048797</v>
      </c>
      <c r="AV3" s="4">
        <f t="shared" si="5"/>
        <v>0.5833441727</v>
      </c>
      <c r="AW3" s="4">
        <f t="shared" si="5"/>
        <v>0.8197126931</v>
      </c>
      <c r="AX3" s="4">
        <f t="shared" si="5"/>
        <v>1.557887006</v>
      </c>
      <c r="AY3" s="4">
        <f t="shared" si="5"/>
        <v>1.153576388</v>
      </c>
      <c r="AZ3" s="4">
        <f t="shared" si="5"/>
        <v>0.9074962345</v>
      </c>
      <c r="BA3" s="4">
        <f t="shared" si="5"/>
        <v>0.8890471384</v>
      </c>
      <c r="BB3" s="4">
        <f t="shared" ref="BB3:BY3" si="6">IF(AD3&gt;=1,1,0)
</f>
        <v>0</v>
      </c>
      <c r="BC3" s="4">
        <f t="shared" si="6"/>
        <v>0</v>
      </c>
      <c r="BD3" s="4">
        <f t="shared" si="6"/>
        <v>0</v>
      </c>
      <c r="BE3" s="4">
        <f t="shared" si="6"/>
        <v>0</v>
      </c>
      <c r="BF3" s="4">
        <f t="shared" si="6"/>
        <v>0</v>
      </c>
      <c r="BG3" s="4">
        <f t="shared" si="6"/>
        <v>0</v>
      </c>
      <c r="BH3" s="4">
        <f t="shared" si="6"/>
        <v>0</v>
      </c>
      <c r="BI3" s="4">
        <f t="shared" si="6"/>
        <v>0</v>
      </c>
      <c r="BJ3" s="4">
        <f t="shared" si="6"/>
        <v>0</v>
      </c>
      <c r="BK3" s="4">
        <f t="shared" si="6"/>
        <v>0</v>
      </c>
      <c r="BL3" s="4">
        <f t="shared" si="6"/>
        <v>0</v>
      </c>
      <c r="BM3" s="4">
        <f t="shared" si="6"/>
        <v>0</v>
      </c>
      <c r="BN3" s="4">
        <f t="shared" si="6"/>
        <v>0</v>
      </c>
      <c r="BO3" s="4">
        <f t="shared" si="6"/>
        <v>0</v>
      </c>
      <c r="BP3" s="4">
        <f t="shared" si="6"/>
        <v>0</v>
      </c>
      <c r="BQ3" s="4">
        <f t="shared" si="6"/>
        <v>0</v>
      </c>
      <c r="BR3" s="4">
        <f t="shared" si="6"/>
        <v>0</v>
      </c>
      <c r="BS3" s="4">
        <f t="shared" si="6"/>
        <v>0</v>
      </c>
      <c r="BT3" s="4">
        <f t="shared" si="6"/>
        <v>0</v>
      </c>
      <c r="BU3" s="4">
        <f t="shared" si="6"/>
        <v>0</v>
      </c>
      <c r="BV3" s="4">
        <f t="shared" si="6"/>
        <v>1</v>
      </c>
      <c r="BW3" s="4">
        <f t="shared" si="6"/>
        <v>1</v>
      </c>
      <c r="BX3" s="4">
        <f t="shared" si="6"/>
        <v>0</v>
      </c>
      <c r="BY3" s="4">
        <f t="shared" si="6"/>
        <v>0</v>
      </c>
    </row>
    <row r="4">
      <c r="A4" s="1" t="s">
        <v>58</v>
      </c>
      <c r="B4" s="1" t="s">
        <v>59</v>
      </c>
      <c r="C4" s="1" t="s">
        <v>54</v>
      </c>
      <c r="D4" s="1">
        <v>6293490.0</v>
      </c>
      <c r="E4" s="1">
        <v>6117460.0</v>
      </c>
      <c r="F4" s="1">
        <v>4956380.0</v>
      </c>
      <c r="G4" s="1">
        <v>4811510.0</v>
      </c>
      <c r="H4" s="1">
        <v>4210210.0</v>
      </c>
      <c r="I4" s="1">
        <v>4070820.0</v>
      </c>
      <c r="J4" s="1">
        <v>4326050.0</v>
      </c>
      <c r="K4" s="1">
        <v>4991210.0</v>
      </c>
      <c r="L4" s="1">
        <v>4031310.0</v>
      </c>
      <c r="M4" s="1">
        <v>3454050.0</v>
      </c>
      <c r="N4" s="1">
        <v>4103600.0</v>
      </c>
      <c r="O4" s="1">
        <v>7618670.0</v>
      </c>
      <c r="P4" s="1">
        <v>7632340.0</v>
      </c>
      <c r="Q4" s="1">
        <v>5315970.0</v>
      </c>
      <c r="R4" s="1">
        <v>4305990.0</v>
      </c>
      <c r="S4" s="1">
        <v>4145180.0</v>
      </c>
      <c r="T4" s="1">
        <v>4003660.0</v>
      </c>
      <c r="U4" s="1">
        <v>4934910.0</v>
      </c>
      <c r="V4" s="1">
        <v>3536430.0</v>
      </c>
      <c r="W4" s="1">
        <v>4048590.0</v>
      </c>
      <c r="X4" s="1">
        <v>3606920.0</v>
      </c>
      <c r="Y4" s="1">
        <v>3643080.0</v>
      </c>
      <c r="Z4" s="1">
        <v>7248580.0</v>
      </c>
      <c r="AA4" s="1">
        <v>7590190.0</v>
      </c>
      <c r="AB4" s="3">
        <f t="shared" si="3"/>
        <v>4958191.667</v>
      </c>
      <c r="AC4" s="4">
        <f t="shared" si="4"/>
        <v>1378100.411</v>
      </c>
      <c r="AD4" s="4">
        <f t="shared" ref="AD4:BA4" si="7">(D4-$AB4)/$AC4</f>
        <v>0.9689412492</v>
      </c>
      <c r="AE4" s="4">
        <f t="shared" si="7"/>
        <v>0.8412074508</v>
      </c>
      <c r="AF4" s="4">
        <f t="shared" si="7"/>
        <v>-0.001314611514</v>
      </c>
      <c r="AG4" s="4">
        <f t="shared" si="7"/>
        <v>-0.1064375756</v>
      </c>
      <c r="AH4" s="4">
        <f t="shared" si="7"/>
        <v>-0.5427628212</v>
      </c>
      <c r="AI4" s="4">
        <f t="shared" si="7"/>
        <v>-0.6439092971</v>
      </c>
      <c r="AJ4" s="4">
        <f t="shared" si="7"/>
        <v>-0.4587050855</v>
      </c>
      <c r="AK4" s="4">
        <f t="shared" si="7"/>
        <v>0.02395930883</v>
      </c>
      <c r="AL4" s="4">
        <f t="shared" si="7"/>
        <v>-0.6725791964</v>
      </c>
      <c r="AM4" s="4">
        <f t="shared" si="7"/>
        <v>-1.09146014</v>
      </c>
      <c r="AN4" s="4">
        <f t="shared" si="7"/>
        <v>-0.6201229316</v>
      </c>
      <c r="AO4" s="4">
        <f t="shared" si="7"/>
        <v>1.930540266</v>
      </c>
      <c r="AP4" s="4">
        <f t="shared" si="7"/>
        <v>1.940459717</v>
      </c>
      <c r="AQ4" s="4">
        <f t="shared" si="7"/>
        <v>0.2596170283</v>
      </c>
      <c r="AR4" s="4">
        <f t="shared" si="7"/>
        <v>-0.4732613543</v>
      </c>
      <c r="AS4" s="4">
        <f t="shared" si="7"/>
        <v>-0.5899509647</v>
      </c>
      <c r="AT4" s="4">
        <f t="shared" si="7"/>
        <v>-0.6926430464</v>
      </c>
      <c r="AU4" s="4">
        <f t="shared" si="7"/>
        <v>-0.01689402781</v>
      </c>
      <c r="AV4" s="4">
        <f t="shared" si="7"/>
        <v>-1.031682202</v>
      </c>
      <c r="AW4" s="4">
        <f t="shared" si="7"/>
        <v>-0.6600401971</v>
      </c>
      <c r="AX4" s="4">
        <f t="shared" si="7"/>
        <v>-0.9805320834</v>
      </c>
      <c r="AY4" s="4">
        <f t="shared" si="7"/>
        <v>-0.9542930665</v>
      </c>
      <c r="AZ4" s="4">
        <f t="shared" si="7"/>
        <v>1.661989443</v>
      </c>
      <c r="BA4" s="4">
        <f t="shared" si="7"/>
        <v>1.909874138</v>
      </c>
      <c r="BB4" s="4">
        <f t="shared" ref="BB4:BY4" si="8">IF(AD4&gt;=1,1,0)
</f>
        <v>0</v>
      </c>
      <c r="BC4" s="4">
        <f t="shared" si="8"/>
        <v>0</v>
      </c>
      <c r="BD4" s="4">
        <f t="shared" si="8"/>
        <v>0</v>
      </c>
      <c r="BE4" s="4">
        <f t="shared" si="8"/>
        <v>0</v>
      </c>
      <c r="BF4" s="4">
        <f t="shared" si="8"/>
        <v>0</v>
      </c>
      <c r="BG4" s="4">
        <f t="shared" si="8"/>
        <v>0</v>
      </c>
      <c r="BH4" s="4">
        <f t="shared" si="8"/>
        <v>0</v>
      </c>
      <c r="BI4" s="4">
        <f t="shared" si="8"/>
        <v>0</v>
      </c>
      <c r="BJ4" s="4">
        <f t="shared" si="8"/>
        <v>0</v>
      </c>
      <c r="BK4" s="4">
        <f t="shared" si="8"/>
        <v>0</v>
      </c>
      <c r="BL4" s="4">
        <f t="shared" si="8"/>
        <v>0</v>
      </c>
      <c r="BM4" s="4">
        <f t="shared" si="8"/>
        <v>1</v>
      </c>
      <c r="BN4" s="4">
        <f t="shared" si="8"/>
        <v>1</v>
      </c>
      <c r="BO4" s="4">
        <f t="shared" si="8"/>
        <v>0</v>
      </c>
      <c r="BP4" s="4">
        <f t="shared" si="8"/>
        <v>0</v>
      </c>
      <c r="BQ4" s="4">
        <f t="shared" si="8"/>
        <v>0</v>
      </c>
      <c r="BR4" s="4">
        <f t="shared" si="8"/>
        <v>0</v>
      </c>
      <c r="BS4" s="4">
        <f t="shared" si="8"/>
        <v>0</v>
      </c>
      <c r="BT4" s="4">
        <f t="shared" si="8"/>
        <v>0</v>
      </c>
      <c r="BU4" s="4">
        <f t="shared" si="8"/>
        <v>0</v>
      </c>
      <c r="BV4" s="4">
        <f t="shared" si="8"/>
        <v>0</v>
      </c>
      <c r="BW4" s="4">
        <f t="shared" si="8"/>
        <v>0</v>
      </c>
      <c r="BX4" s="4">
        <f t="shared" si="8"/>
        <v>1</v>
      </c>
      <c r="BY4" s="4">
        <f t="shared" si="8"/>
        <v>1</v>
      </c>
    </row>
    <row r="5">
      <c r="A5" s="1" t="s">
        <v>60</v>
      </c>
      <c r="B5" s="1" t="s">
        <v>59</v>
      </c>
      <c r="C5" s="1" t="s">
        <v>54</v>
      </c>
      <c r="D5" s="1">
        <v>1.002785E7</v>
      </c>
      <c r="E5" s="1">
        <v>9904290.0</v>
      </c>
      <c r="F5" s="1">
        <v>8825800.0</v>
      </c>
      <c r="G5" s="1">
        <v>1.052229E7</v>
      </c>
      <c r="H5" s="1">
        <v>9846150.0</v>
      </c>
      <c r="I5" s="1">
        <v>9634490.0</v>
      </c>
      <c r="J5" s="1">
        <v>1.000639E7</v>
      </c>
      <c r="K5" s="1">
        <v>9919910.0</v>
      </c>
      <c r="L5" s="1">
        <v>9280360.0</v>
      </c>
      <c r="M5" s="1">
        <v>9306030.0</v>
      </c>
      <c r="N5" s="1">
        <v>9597720.0</v>
      </c>
      <c r="O5" s="1">
        <v>9709900.0</v>
      </c>
      <c r="P5" s="1">
        <v>1.006932E7</v>
      </c>
      <c r="Q5" s="1">
        <v>9280020.0</v>
      </c>
      <c r="R5" s="1">
        <v>7938190.0</v>
      </c>
      <c r="S5" s="1">
        <v>9833840.0</v>
      </c>
      <c r="T5" s="1">
        <v>8181520.0</v>
      </c>
      <c r="U5" s="1">
        <v>8040650.0</v>
      </c>
      <c r="V5" s="1">
        <v>7038320.0</v>
      </c>
      <c r="W5" s="1">
        <v>8181790.0</v>
      </c>
      <c r="X5" s="1">
        <v>8075480.0</v>
      </c>
      <c r="Y5" s="1">
        <v>7831440.0</v>
      </c>
      <c r="Z5" s="1">
        <v>8359270.0</v>
      </c>
      <c r="AA5" s="1">
        <v>8161310.0</v>
      </c>
      <c r="AB5" s="3">
        <f t="shared" si="3"/>
        <v>9065513.75</v>
      </c>
      <c r="AC5" s="4">
        <f t="shared" si="4"/>
        <v>946772.8894</v>
      </c>
      <c r="AD5" s="4">
        <f t="shared" ref="AD5:BA5" si="9">(D5-$AB5)/$AC5</f>
        <v>1.016438325</v>
      </c>
      <c r="AE5" s="4">
        <f t="shared" si="9"/>
        <v>0.8859318421</v>
      </c>
      <c r="AF5" s="4">
        <f t="shared" si="9"/>
        <v>-0.2531903402</v>
      </c>
      <c r="AG5" s="4">
        <f t="shared" si="9"/>
        <v>1.538675501</v>
      </c>
      <c r="AH5" s="4">
        <f t="shared" si="9"/>
        <v>0.8245232397</v>
      </c>
      <c r="AI5" s="4">
        <f t="shared" si="9"/>
        <v>0.6009638176</v>
      </c>
      <c r="AJ5" s="4">
        <f t="shared" si="9"/>
        <v>0.9937718544</v>
      </c>
      <c r="AK5" s="4">
        <f t="shared" si="9"/>
        <v>0.9024299909</v>
      </c>
      <c r="AL5" s="4">
        <f t="shared" si="9"/>
        <v>0.2269248015</v>
      </c>
      <c r="AM5" s="4">
        <f t="shared" si="9"/>
        <v>0.2540379564</v>
      </c>
      <c r="AN5" s="4">
        <f t="shared" si="9"/>
        <v>0.5621266261</v>
      </c>
      <c r="AO5" s="4">
        <f t="shared" si="9"/>
        <v>0.680613331</v>
      </c>
      <c r="AP5" s="4">
        <f t="shared" si="9"/>
        <v>1.060239748</v>
      </c>
      <c r="AQ5" s="4">
        <f t="shared" si="9"/>
        <v>0.2265656869</v>
      </c>
      <c r="AR5" s="4">
        <f t="shared" si="9"/>
        <v>-1.190701342</v>
      </c>
      <c r="AS5" s="4">
        <f t="shared" si="9"/>
        <v>0.8115211775</v>
      </c>
      <c r="AT5" s="4">
        <f t="shared" si="9"/>
        <v>-0.933691448</v>
      </c>
      <c r="AU5" s="4">
        <f t="shared" si="9"/>
        <v>-1.082481091</v>
      </c>
      <c r="AV5" s="4">
        <f t="shared" si="9"/>
        <v>-2.141161595</v>
      </c>
      <c r="AW5" s="4">
        <f t="shared" si="9"/>
        <v>-0.9334062687</v>
      </c>
      <c r="AX5" s="4">
        <f t="shared" si="9"/>
        <v>-1.045692965</v>
      </c>
      <c r="AY5" s="4">
        <f t="shared" si="9"/>
        <v>-1.303452775</v>
      </c>
      <c r="AZ5" s="4">
        <f t="shared" si="9"/>
        <v>-0.7459484296</v>
      </c>
      <c r="BA5" s="4">
        <f t="shared" si="9"/>
        <v>-0.9550376443</v>
      </c>
      <c r="BB5" s="4">
        <f t="shared" ref="BB5:BY5" si="10">IF(AD5&gt;=1,1,0)
</f>
        <v>1</v>
      </c>
      <c r="BC5" s="4">
        <f t="shared" si="10"/>
        <v>0</v>
      </c>
      <c r="BD5" s="4">
        <f t="shared" si="10"/>
        <v>0</v>
      </c>
      <c r="BE5" s="4">
        <f t="shared" si="10"/>
        <v>1</v>
      </c>
      <c r="BF5" s="4">
        <f t="shared" si="10"/>
        <v>0</v>
      </c>
      <c r="BG5" s="4">
        <f t="shared" si="10"/>
        <v>0</v>
      </c>
      <c r="BH5" s="4">
        <f t="shared" si="10"/>
        <v>0</v>
      </c>
      <c r="BI5" s="4">
        <f t="shared" si="10"/>
        <v>0</v>
      </c>
      <c r="BJ5" s="4">
        <f t="shared" si="10"/>
        <v>0</v>
      </c>
      <c r="BK5" s="4">
        <f t="shared" si="10"/>
        <v>0</v>
      </c>
      <c r="BL5" s="4">
        <f t="shared" si="10"/>
        <v>0</v>
      </c>
      <c r="BM5" s="4">
        <f t="shared" si="10"/>
        <v>0</v>
      </c>
      <c r="BN5" s="4">
        <f t="shared" si="10"/>
        <v>1</v>
      </c>
      <c r="BO5" s="4">
        <f t="shared" si="10"/>
        <v>0</v>
      </c>
      <c r="BP5" s="4">
        <f t="shared" si="10"/>
        <v>0</v>
      </c>
      <c r="BQ5" s="4">
        <f t="shared" si="10"/>
        <v>0</v>
      </c>
      <c r="BR5" s="4">
        <f t="shared" si="10"/>
        <v>0</v>
      </c>
      <c r="BS5" s="4">
        <f t="shared" si="10"/>
        <v>0</v>
      </c>
      <c r="BT5" s="4">
        <f t="shared" si="10"/>
        <v>0</v>
      </c>
      <c r="BU5" s="4">
        <f t="shared" si="10"/>
        <v>0</v>
      </c>
      <c r="BV5" s="4">
        <f t="shared" si="10"/>
        <v>0</v>
      </c>
      <c r="BW5" s="4">
        <f t="shared" si="10"/>
        <v>0</v>
      </c>
      <c r="BX5" s="4">
        <f t="shared" si="10"/>
        <v>0</v>
      </c>
      <c r="BY5" s="4">
        <f t="shared" si="10"/>
        <v>0</v>
      </c>
    </row>
    <row r="6">
      <c r="A6" s="1" t="s">
        <v>61</v>
      </c>
      <c r="B6" s="1" t="s">
        <v>59</v>
      </c>
      <c r="C6" s="1" t="s">
        <v>54</v>
      </c>
      <c r="D6" s="1">
        <v>3210.0</v>
      </c>
      <c r="E6" s="1">
        <v>3840.0</v>
      </c>
      <c r="F6" s="1">
        <v>3880.0</v>
      </c>
      <c r="G6" s="1">
        <v>4620.0</v>
      </c>
      <c r="H6" s="1">
        <v>4230.0</v>
      </c>
      <c r="I6" s="1">
        <v>3900.0</v>
      </c>
      <c r="J6" s="1">
        <v>4430.0</v>
      </c>
      <c r="K6" s="1">
        <v>4440.0</v>
      </c>
      <c r="L6" s="1">
        <v>3760.0</v>
      </c>
      <c r="M6" s="1">
        <v>5080.0</v>
      </c>
      <c r="N6" s="1">
        <v>5000.0</v>
      </c>
      <c r="O6" s="1">
        <v>4690.0</v>
      </c>
      <c r="P6" s="1">
        <v>3920.0</v>
      </c>
      <c r="Q6" s="1">
        <v>4610.0</v>
      </c>
      <c r="R6" s="1">
        <v>4710.0</v>
      </c>
      <c r="S6" s="1">
        <v>10710.0</v>
      </c>
      <c r="T6" s="1">
        <v>10410.0</v>
      </c>
      <c r="U6" s="1">
        <v>7730.0</v>
      </c>
      <c r="V6" s="1">
        <v>7130.0</v>
      </c>
      <c r="W6" s="1">
        <v>6170.0</v>
      </c>
      <c r="X6" s="1">
        <v>5850.0</v>
      </c>
      <c r="Y6" s="1">
        <v>4820.0</v>
      </c>
      <c r="Z6" s="1">
        <v>5260.0</v>
      </c>
      <c r="AA6" s="1">
        <v>5090.0</v>
      </c>
      <c r="AB6" s="3">
        <f t="shared" si="3"/>
        <v>5312.083333</v>
      </c>
      <c r="AC6" s="4">
        <f t="shared" si="4"/>
        <v>1924.177925</v>
      </c>
      <c r="AD6" s="4">
        <f t="shared" ref="AD6:BA6" si="11">(D6-$AB6)/$AC6</f>
        <v>-1.092457878</v>
      </c>
      <c r="AE6" s="4">
        <f t="shared" si="11"/>
        <v>-0.7650453287</v>
      </c>
      <c r="AF6" s="4">
        <f t="shared" si="11"/>
        <v>-0.7442572303</v>
      </c>
      <c r="AG6" s="4">
        <f t="shared" si="11"/>
        <v>-0.3596774104</v>
      </c>
      <c r="AH6" s="4">
        <f t="shared" si="11"/>
        <v>-0.5623613695</v>
      </c>
      <c r="AI6" s="4">
        <f t="shared" si="11"/>
        <v>-0.7338631811</v>
      </c>
      <c r="AJ6" s="4">
        <f t="shared" si="11"/>
        <v>-0.4584208777</v>
      </c>
      <c r="AK6" s="4">
        <f t="shared" si="11"/>
        <v>-0.4532238531</v>
      </c>
      <c r="AL6" s="4">
        <f t="shared" si="11"/>
        <v>-0.8066215254</v>
      </c>
      <c r="AM6" s="4">
        <f t="shared" si="11"/>
        <v>-0.1206142791</v>
      </c>
      <c r="AN6" s="4">
        <f t="shared" si="11"/>
        <v>-0.1621904759</v>
      </c>
      <c r="AO6" s="4">
        <f t="shared" si="11"/>
        <v>-0.3232982382</v>
      </c>
      <c r="AP6" s="4">
        <f t="shared" si="11"/>
        <v>-0.7234691319</v>
      </c>
      <c r="AQ6" s="4">
        <f t="shared" si="11"/>
        <v>-0.364874435</v>
      </c>
      <c r="AR6" s="4">
        <f t="shared" si="11"/>
        <v>-0.3129041891</v>
      </c>
      <c r="AS6" s="4">
        <f t="shared" si="11"/>
        <v>2.805310567</v>
      </c>
      <c r="AT6" s="4">
        <f t="shared" si="11"/>
        <v>2.649399829</v>
      </c>
      <c r="AU6" s="4">
        <f t="shared" si="11"/>
        <v>1.256597238</v>
      </c>
      <c r="AV6" s="4">
        <f t="shared" si="11"/>
        <v>0.9447757625</v>
      </c>
      <c r="AW6" s="4">
        <f t="shared" si="11"/>
        <v>0.4458614016</v>
      </c>
      <c r="AX6" s="4">
        <f t="shared" si="11"/>
        <v>0.2795566146</v>
      </c>
      <c r="AY6" s="4">
        <f t="shared" si="11"/>
        <v>-0.2557369185</v>
      </c>
      <c r="AZ6" s="4">
        <f t="shared" si="11"/>
        <v>-0.02706783642</v>
      </c>
      <c r="BA6" s="4">
        <f t="shared" si="11"/>
        <v>-0.1154172545</v>
      </c>
      <c r="BB6" s="4">
        <f t="shared" ref="BB6:BY6" si="12">IF(AD6&gt;=1,1,0)
</f>
        <v>0</v>
      </c>
      <c r="BC6" s="4">
        <f t="shared" si="12"/>
        <v>0</v>
      </c>
      <c r="BD6" s="4">
        <f t="shared" si="12"/>
        <v>0</v>
      </c>
      <c r="BE6" s="4">
        <f t="shared" si="12"/>
        <v>0</v>
      </c>
      <c r="BF6" s="4">
        <f t="shared" si="12"/>
        <v>0</v>
      </c>
      <c r="BG6" s="4">
        <f t="shared" si="12"/>
        <v>0</v>
      </c>
      <c r="BH6" s="4">
        <f t="shared" si="12"/>
        <v>0</v>
      </c>
      <c r="BI6" s="4">
        <f t="shared" si="12"/>
        <v>0</v>
      </c>
      <c r="BJ6" s="4">
        <f t="shared" si="12"/>
        <v>0</v>
      </c>
      <c r="BK6" s="4">
        <f t="shared" si="12"/>
        <v>0</v>
      </c>
      <c r="BL6" s="4">
        <f t="shared" si="12"/>
        <v>0</v>
      </c>
      <c r="BM6" s="4">
        <f t="shared" si="12"/>
        <v>0</v>
      </c>
      <c r="BN6" s="4">
        <f t="shared" si="12"/>
        <v>0</v>
      </c>
      <c r="BO6" s="4">
        <f t="shared" si="12"/>
        <v>0</v>
      </c>
      <c r="BP6" s="4">
        <f t="shared" si="12"/>
        <v>0</v>
      </c>
      <c r="BQ6" s="4">
        <f t="shared" si="12"/>
        <v>1</v>
      </c>
      <c r="BR6" s="4">
        <f t="shared" si="12"/>
        <v>1</v>
      </c>
      <c r="BS6" s="4">
        <f t="shared" si="12"/>
        <v>1</v>
      </c>
      <c r="BT6" s="4">
        <f t="shared" si="12"/>
        <v>0</v>
      </c>
      <c r="BU6" s="4">
        <f t="shared" si="12"/>
        <v>0</v>
      </c>
      <c r="BV6" s="4">
        <f t="shared" si="12"/>
        <v>0</v>
      </c>
      <c r="BW6" s="4">
        <f t="shared" si="12"/>
        <v>0</v>
      </c>
      <c r="BX6" s="4">
        <f t="shared" si="12"/>
        <v>0</v>
      </c>
      <c r="BY6" s="4">
        <f t="shared" si="12"/>
        <v>0</v>
      </c>
    </row>
    <row r="7">
      <c r="A7" s="1" t="s">
        <v>62</v>
      </c>
      <c r="B7" s="1" t="s">
        <v>63</v>
      </c>
      <c r="C7" s="1" t="s">
        <v>64</v>
      </c>
      <c r="D7" s="1">
        <v>1301090.0</v>
      </c>
      <c r="E7" s="1">
        <v>1965090.0</v>
      </c>
      <c r="F7" s="1">
        <v>1191390.0</v>
      </c>
      <c r="G7" s="1">
        <v>1697380.0</v>
      </c>
      <c r="H7" s="1">
        <v>2487710.0</v>
      </c>
      <c r="I7" s="1">
        <v>3304490.0</v>
      </c>
      <c r="J7" s="1">
        <v>3936040.0</v>
      </c>
      <c r="K7" s="1">
        <v>4759010.0</v>
      </c>
      <c r="L7" s="1">
        <v>3236140.0</v>
      </c>
      <c r="M7" s="1">
        <v>1925190.0</v>
      </c>
      <c r="N7" s="1">
        <v>1591030.0</v>
      </c>
      <c r="O7" s="1">
        <v>2439410.0</v>
      </c>
      <c r="P7" s="1">
        <v>3138070.0</v>
      </c>
      <c r="Q7" s="1">
        <v>3038600.0</v>
      </c>
      <c r="R7" s="1">
        <v>2256310.0</v>
      </c>
      <c r="S7" s="1">
        <v>2338590.0</v>
      </c>
      <c r="T7" s="1">
        <v>2301820.0</v>
      </c>
      <c r="U7" s="1">
        <v>3522860.0</v>
      </c>
      <c r="V7" s="1">
        <v>3045490.0</v>
      </c>
      <c r="W7" s="1">
        <v>3006930.0</v>
      </c>
      <c r="X7" s="1">
        <v>2427780.0</v>
      </c>
      <c r="Y7" s="1">
        <v>1597120.0</v>
      </c>
      <c r="Z7" s="1">
        <v>1577040.0</v>
      </c>
      <c r="AA7" s="1">
        <v>2392850.0</v>
      </c>
      <c r="AB7" s="3">
        <f t="shared" si="3"/>
        <v>2519892.917</v>
      </c>
      <c r="AC7" s="4">
        <f t="shared" si="4"/>
        <v>877051.2548</v>
      </c>
      <c r="AD7" s="4">
        <f t="shared" ref="AD7:BA7" si="13">(D7-$AB7)/$AC7</f>
        <v>-1.389659852</v>
      </c>
      <c r="AE7" s="4">
        <f t="shared" si="13"/>
        <v>-0.6325775303</v>
      </c>
      <c r="AF7" s="4">
        <f t="shared" si="13"/>
        <v>-1.514738061</v>
      </c>
      <c r="AG7" s="4">
        <f t="shared" si="13"/>
        <v>-0.9378162475</v>
      </c>
      <c r="AH7" s="4">
        <f t="shared" si="13"/>
        <v>-0.03669445371</v>
      </c>
      <c r="AI7" s="4">
        <f t="shared" si="13"/>
        <v>0.8945852127</v>
      </c>
      <c r="AJ7" s="4">
        <f t="shared" si="13"/>
        <v>1.614668556</v>
      </c>
      <c r="AK7" s="4">
        <f t="shared" si="13"/>
        <v>2.553005963</v>
      </c>
      <c r="AL7" s="4">
        <f t="shared" si="13"/>
        <v>0.8166536214</v>
      </c>
      <c r="AM7" s="4">
        <f t="shared" si="13"/>
        <v>-0.6780708806</v>
      </c>
      <c r="AN7" s="4">
        <f t="shared" si="13"/>
        <v>-1.059074839</v>
      </c>
      <c r="AO7" s="4">
        <f t="shared" si="13"/>
        <v>-0.09176535149</v>
      </c>
      <c r="AP7" s="4">
        <f t="shared" si="13"/>
        <v>0.704835755</v>
      </c>
      <c r="AQ7" s="4">
        <f t="shared" si="13"/>
        <v>0.5914216307</v>
      </c>
      <c r="AR7" s="4">
        <f t="shared" si="13"/>
        <v>-0.300533082</v>
      </c>
      <c r="AS7" s="4">
        <f t="shared" si="13"/>
        <v>-0.2067187244</v>
      </c>
      <c r="AT7" s="4">
        <f t="shared" si="13"/>
        <v>-0.2486432982</v>
      </c>
      <c r="AU7" s="4">
        <f t="shared" si="13"/>
        <v>1.143567241</v>
      </c>
      <c r="AV7" s="4">
        <f t="shared" si="13"/>
        <v>0.5992775</v>
      </c>
      <c r="AW7" s="4">
        <f t="shared" si="13"/>
        <v>0.5553119965</v>
      </c>
      <c r="AX7" s="4">
        <f t="shared" si="13"/>
        <v>-0.105025694</v>
      </c>
      <c r="AY7" s="4">
        <f t="shared" si="13"/>
        <v>-1.052131117</v>
      </c>
      <c r="AZ7" s="4">
        <f t="shared" si="13"/>
        <v>-1.075026016</v>
      </c>
      <c r="BA7" s="4">
        <f t="shared" si="13"/>
        <v>-0.1448523287</v>
      </c>
      <c r="BB7" s="4">
        <f t="shared" ref="BB7:BY7" si="14">IF(AD7&gt;=1,1,0)
</f>
        <v>0</v>
      </c>
      <c r="BC7" s="4">
        <f t="shared" si="14"/>
        <v>0</v>
      </c>
      <c r="BD7" s="4">
        <f t="shared" si="14"/>
        <v>0</v>
      </c>
      <c r="BE7" s="4">
        <f t="shared" si="14"/>
        <v>0</v>
      </c>
      <c r="BF7" s="4">
        <f t="shared" si="14"/>
        <v>0</v>
      </c>
      <c r="BG7" s="4">
        <f t="shared" si="14"/>
        <v>0</v>
      </c>
      <c r="BH7" s="4">
        <f t="shared" si="14"/>
        <v>1</v>
      </c>
      <c r="BI7" s="4">
        <f t="shared" si="14"/>
        <v>1</v>
      </c>
      <c r="BJ7" s="4">
        <f t="shared" si="14"/>
        <v>0</v>
      </c>
      <c r="BK7" s="4">
        <f t="shared" si="14"/>
        <v>0</v>
      </c>
      <c r="BL7" s="4">
        <f t="shared" si="14"/>
        <v>0</v>
      </c>
      <c r="BM7" s="4">
        <f t="shared" si="14"/>
        <v>0</v>
      </c>
      <c r="BN7" s="4">
        <f t="shared" si="14"/>
        <v>0</v>
      </c>
      <c r="BO7" s="4">
        <f t="shared" si="14"/>
        <v>0</v>
      </c>
      <c r="BP7" s="4">
        <f t="shared" si="14"/>
        <v>0</v>
      </c>
      <c r="BQ7" s="4">
        <f t="shared" si="14"/>
        <v>0</v>
      </c>
      <c r="BR7" s="4">
        <f t="shared" si="14"/>
        <v>0</v>
      </c>
      <c r="BS7" s="4">
        <f t="shared" si="14"/>
        <v>1</v>
      </c>
      <c r="BT7" s="4">
        <f t="shared" si="14"/>
        <v>0</v>
      </c>
      <c r="BU7" s="4">
        <f t="shared" si="14"/>
        <v>0</v>
      </c>
      <c r="BV7" s="4">
        <f t="shared" si="14"/>
        <v>0</v>
      </c>
      <c r="BW7" s="4">
        <f t="shared" si="14"/>
        <v>0</v>
      </c>
      <c r="BX7" s="4">
        <f t="shared" si="14"/>
        <v>0</v>
      </c>
      <c r="BY7" s="4">
        <f t="shared" si="14"/>
        <v>0</v>
      </c>
    </row>
    <row r="8">
      <c r="A8" s="1" t="s">
        <v>65</v>
      </c>
      <c r="B8" s="1" t="s">
        <v>59</v>
      </c>
      <c r="C8" s="1" t="s">
        <v>66</v>
      </c>
      <c r="D8" s="1">
        <v>2.225575E7</v>
      </c>
      <c r="E8" s="1">
        <v>1.532572E7</v>
      </c>
      <c r="F8" s="1">
        <v>1.511E7</v>
      </c>
      <c r="G8" s="1">
        <v>1.541863E7</v>
      </c>
      <c r="H8" s="1">
        <v>1.508729E7</v>
      </c>
      <c r="I8" s="1">
        <v>1.787052E7</v>
      </c>
      <c r="J8" s="1">
        <v>1.548067E7</v>
      </c>
      <c r="K8" s="1">
        <v>1.847462E7</v>
      </c>
      <c r="L8" s="1">
        <v>1.84287E7</v>
      </c>
      <c r="M8" s="1">
        <v>1.54401E7</v>
      </c>
      <c r="N8" s="1">
        <v>1.851945E7</v>
      </c>
      <c r="O8" s="1">
        <v>2.285648E7</v>
      </c>
      <c r="P8" s="1">
        <v>2.262313E7</v>
      </c>
      <c r="Q8" s="1">
        <v>1.562842E7</v>
      </c>
      <c r="R8" s="1">
        <v>1.487766E7</v>
      </c>
      <c r="S8" s="1">
        <v>1.823998E7</v>
      </c>
      <c r="T8" s="1">
        <v>1.526201E7</v>
      </c>
      <c r="U8" s="1">
        <v>1.796327E7</v>
      </c>
      <c r="V8" s="1">
        <v>1.507335E7</v>
      </c>
      <c r="W8" s="1">
        <v>2.53619E7</v>
      </c>
      <c r="X8" s="1">
        <v>3.150968E7</v>
      </c>
      <c r="Y8" s="1">
        <v>1.902811E7</v>
      </c>
      <c r="Z8" s="1">
        <v>1.852578E7</v>
      </c>
      <c r="AA8" s="1">
        <v>2.697344E7</v>
      </c>
      <c r="AB8" s="3">
        <f t="shared" si="3"/>
        <v>18805610.83</v>
      </c>
      <c r="AC8" s="4">
        <f t="shared" si="4"/>
        <v>4382773.669</v>
      </c>
      <c r="AD8" s="4">
        <f t="shared" ref="AD8:BA8" si="15">(D8-$AB8)/$AC8</f>
        <v>0.7872045027</v>
      </c>
      <c r="AE8" s="4">
        <f t="shared" si="15"/>
        <v>-0.7939928219</v>
      </c>
      <c r="AF8" s="4">
        <f t="shared" si="15"/>
        <v>-0.8432127946</v>
      </c>
      <c r="AG8" s="4">
        <f t="shared" si="15"/>
        <v>-0.7727939176</v>
      </c>
      <c r="AH8" s="4">
        <f t="shared" si="15"/>
        <v>-0.8483944448</v>
      </c>
      <c r="AI8" s="4">
        <f t="shared" si="15"/>
        <v>-0.2133559485</v>
      </c>
      <c r="AJ8" s="4">
        <f t="shared" si="15"/>
        <v>-0.758638498</v>
      </c>
      <c r="AK8" s="4">
        <f t="shared" si="15"/>
        <v>-0.07552085924</v>
      </c>
      <c r="AL8" s="4">
        <f t="shared" si="15"/>
        <v>-0.08599824262</v>
      </c>
      <c r="AM8" s="4">
        <f t="shared" si="15"/>
        <v>-0.7678951932</v>
      </c>
      <c r="AN8" s="4">
        <f t="shared" si="15"/>
        <v>-0.06529217682</v>
      </c>
      <c r="AO8" s="4">
        <f t="shared" si="15"/>
        <v>0.9242706726</v>
      </c>
      <c r="AP8" s="4">
        <f t="shared" si="15"/>
        <v>0.8710281331</v>
      </c>
      <c r="AQ8" s="4">
        <f t="shared" si="15"/>
        <v>-0.7249269694</v>
      </c>
      <c r="AR8" s="4">
        <f t="shared" si="15"/>
        <v>-0.8962248864</v>
      </c>
      <c r="AS8" s="4">
        <f t="shared" si="15"/>
        <v>-0.1290577329</v>
      </c>
      <c r="AT8" s="4">
        <f t="shared" si="15"/>
        <v>-0.8085292787</v>
      </c>
      <c r="AU8" s="4">
        <f t="shared" si="15"/>
        <v>-0.1921935507</v>
      </c>
      <c r="AV8" s="4">
        <f t="shared" si="15"/>
        <v>-0.851575079</v>
      </c>
      <c r="AW8" s="4">
        <f t="shared" si="15"/>
        <v>1.495922368</v>
      </c>
      <c r="AX8" s="4">
        <f t="shared" si="15"/>
        <v>2.898636828</v>
      </c>
      <c r="AY8" s="4">
        <f t="shared" si="15"/>
        <v>0.05076674806</v>
      </c>
      <c r="AZ8" s="4">
        <f t="shared" si="15"/>
        <v>-0.06384788594</v>
      </c>
      <c r="BA8" s="4">
        <f t="shared" si="15"/>
        <v>1.863621027</v>
      </c>
      <c r="BB8" s="4">
        <f t="shared" ref="BB8:BY8" si="16">IF(AD8&gt;=1,1,0)
</f>
        <v>0</v>
      </c>
      <c r="BC8" s="4">
        <f t="shared" si="16"/>
        <v>0</v>
      </c>
      <c r="BD8" s="4">
        <f t="shared" si="16"/>
        <v>0</v>
      </c>
      <c r="BE8" s="4">
        <f t="shared" si="16"/>
        <v>0</v>
      </c>
      <c r="BF8" s="4">
        <f t="shared" si="16"/>
        <v>0</v>
      </c>
      <c r="BG8" s="4">
        <f t="shared" si="16"/>
        <v>0</v>
      </c>
      <c r="BH8" s="4">
        <f t="shared" si="16"/>
        <v>0</v>
      </c>
      <c r="BI8" s="4">
        <f t="shared" si="16"/>
        <v>0</v>
      </c>
      <c r="BJ8" s="4">
        <f t="shared" si="16"/>
        <v>0</v>
      </c>
      <c r="BK8" s="4">
        <f t="shared" si="16"/>
        <v>0</v>
      </c>
      <c r="BL8" s="4">
        <f t="shared" si="16"/>
        <v>0</v>
      </c>
      <c r="BM8" s="4">
        <f t="shared" si="16"/>
        <v>0</v>
      </c>
      <c r="BN8" s="4">
        <f t="shared" si="16"/>
        <v>0</v>
      </c>
      <c r="BO8" s="4">
        <f t="shared" si="16"/>
        <v>0</v>
      </c>
      <c r="BP8" s="4">
        <f t="shared" si="16"/>
        <v>0</v>
      </c>
      <c r="BQ8" s="4">
        <f t="shared" si="16"/>
        <v>0</v>
      </c>
      <c r="BR8" s="4">
        <f t="shared" si="16"/>
        <v>0</v>
      </c>
      <c r="BS8" s="4">
        <f t="shared" si="16"/>
        <v>0</v>
      </c>
      <c r="BT8" s="4">
        <f t="shared" si="16"/>
        <v>0</v>
      </c>
      <c r="BU8" s="4">
        <f t="shared" si="16"/>
        <v>1</v>
      </c>
      <c r="BV8" s="4">
        <f t="shared" si="16"/>
        <v>1</v>
      </c>
      <c r="BW8" s="4">
        <f t="shared" si="16"/>
        <v>0</v>
      </c>
      <c r="BX8" s="4">
        <f t="shared" si="16"/>
        <v>0</v>
      </c>
      <c r="BY8" s="4">
        <f t="shared" si="16"/>
        <v>1</v>
      </c>
    </row>
    <row r="9">
      <c r="A9" s="1" t="s">
        <v>67</v>
      </c>
      <c r="B9" s="1" t="s">
        <v>59</v>
      </c>
      <c r="C9" s="1" t="s">
        <v>66</v>
      </c>
      <c r="D9" s="1">
        <v>1.361283E7</v>
      </c>
      <c r="E9" s="1">
        <v>1.171613E7</v>
      </c>
      <c r="F9" s="1">
        <v>1.058623E7</v>
      </c>
      <c r="G9" s="1">
        <v>1.179589E7</v>
      </c>
      <c r="H9" s="1">
        <v>1.066324E7</v>
      </c>
      <c r="I9" s="1">
        <v>1.115689E7</v>
      </c>
      <c r="J9" s="1">
        <v>1.068527E7</v>
      </c>
      <c r="K9" s="1">
        <v>1.095614E7</v>
      </c>
      <c r="L9" s="1">
        <v>1.104118E7</v>
      </c>
      <c r="M9" s="1">
        <v>1.175368E7</v>
      </c>
      <c r="N9" s="1">
        <v>1.382217E7</v>
      </c>
      <c r="O9" s="1">
        <v>1.612988E7</v>
      </c>
      <c r="P9" s="1">
        <v>1.639818E7</v>
      </c>
      <c r="Q9" s="1">
        <v>1.21778E7</v>
      </c>
      <c r="R9" s="1">
        <v>1.026258E7</v>
      </c>
      <c r="S9" s="1">
        <v>1.300388E7</v>
      </c>
      <c r="T9" s="1">
        <v>1.232776E7</v>
      </c>
      <c r="U9" s="1">
        <v>1.296668E7</v>
      </c>
      <c r="V9" s="1">
        <v>1.131166E7</v>
      </c>
      <c r="W9" s="1">
        <v>1.266428E7</v>
      </c>
      <c r="X9" s="1">
        <v>1.656903E7</v>
      </c>
      <c r="Y9" s="1">
        <v>1.651241E7</v>
      </c>
      <c r="Z9" s="1">
        <v>1.661708E7</v>
      </c>
      <c r="AA9" s="1">
        <v>2.043633E7</v>
      </c>
      <c r="AB9" s="3">
        <f t="shared" si="3"/>
        <v>13131966.67</v>
      </c>
      <c r="AC9" s="4">
        <f t="shared" si="4"/>
        <v>2635278.531</v>
      </c>
      <c r="AD9" s="4">
        <f t="shared" ref="AD9:BA9" si="17">(D9-$AB9)/$AC9</f>
        <v>0.1824715406</v>
      </c>
      <c r="AE9" s="4">
        <f t="shared" si="17"/>
        <v>-0.5372626272</v>
      </c>
      <c r="AF9" s="4">
        <f t="shared" si="17"/>
        <v>-0.9660218596</v>
      </c>
      <c r="AG9" s="4">
        <f t="shared" si="17"/>
        <v>-0.5069963767</v>
      </c>
      <c r="AH9" s="4">
        <f t="shared" si="17"/>
        <v>-0.9367991421</v>
      </c>
      <c r="AI9" s="4">
        <f t="shared" si="17"/>
        <v>-0.7494754895</v>
      </c>
      <c r="AJ9" s="4">
        <f t="shared" si="17"/>
        <v>-0.9284394944</v>
      </c>
      <c r="AK9" s="4">
        <f t="shared" si="17"/>
        <v>-0.8256533954</v>
      </c>
      <c r="AL9" s="4">
        <f t="shared" si="17"/>
        <v>-0.7933835617</v>
      </c>
      <c r="AM9" s="4">
        <f t="shared" si="17"/>
        <v>-0.5230136589</v>
      </c>
      <c r="AN9" s="4">
        <f t="shared" si="17"/>
        <v>0.261909064</v>
      </c>
      <c r="AO9" s="4">
        <f t="shared" si="17"/>
        <v>1.13760777</v>
      </c>
      <c r="AP9" s="4">
        <f t="shared" si="17"/>
        <v>1.23941864</v>
      </c>
      <c r="AQ9" s="4">
        <f t="shared" si="17"/>
        <v>-0.3620743142</v>
      </c>
      <c r="AR9" s="4">
        <f t="shared" si="17"/>
        <v>-1.088836202</v>
      </c>
      <c r="AS9" s="4">
        <f t="shared" si="17"/>
        <v>-0.04860460296</v>
      </c>
      <c r="AT9" s="4">
        <f t="shared" si="17"/>
        <v>-0.3051695133</v>
      </c>
      <c r="AU9" s="4">
        <f t="shared" si="17"/>
        <v>-0.06272075788</v>
      </c>
      <c r="AV9" s="4">
        <f t="shared" si="17"/>
        <v>-0.6907454546</v>
      </c>
      <c r="AW9" s="4">
        <f t="shared" si="17"/>
        <v>-0.1774714366</v>
      </c>
      <c r="AX9" s="4">
        <f t="shared" si="17"/>
        <v>1.304250497</v>
      </c>
      <c r="AY9" s="4">
        <f t="shared" si="17"/>
        <v>1.282765102</v>
      </c>
      <c r="AZ9" s="4">
        <f t="shared" si="17"/>
        <v>1.322483864</v>
      </c>
      <c r="BA9" s="4">
        <f t="shared" si="17"/>
        <v>2.771761409</v>
      </c>
      <c r="BB9" s="4">
        <f t="shared" ref="BB9:BY9" si="18">IF(AD9&gt;=1,1,0)
</f>
        <v>0</v>
      </c>
      <c r="BC9" s="4">
        <f t="shared" si="18"/>
        <v>0</v>
      </c>
      <c r="BD9" s="4">
        <f t="shared" si="18"/>
        <v>0</v>
      </c>
      <c r="BE9" s="4">
        <f t="shared" si="18"/>
        <v>0</v>
      </c>
      <c r="BF9" s="4">
        <f t="shared" si="18"/>
        <v>0</v>
      </c>
      <c r="BG9" s="4">
        <f t="shared" si="18"/>
        <v>0</v>
      </c>
      <c r="BH9" s="4">
        <f t="shared" si="18"/>
        <v>0</v>
      </c>
      <c r="BI9" s="4">
        <f t="shared" si="18"/>
        <v>0</v>
      </c>
      <c r="BJ9" s="4">
        <f t="shared" si="18"/>
        <v>0</v>
      </c>
      <c r="BK9" s="4">
        <f t="shared" si="18"/>
        <v>0</v>
      </c>
      <c r="BL9" s="4">
        <f t="shared" si="18"/>
        <v>0</v>
      </c>
      <c r="BM9" s="4">
        <f t="shared" si="18"/>
        <v>1</v>
      </c>
      <c r="BN9" s="4">
        <f t="shared" si="18"/>
        <v>1</v>
      </c>
      <c r="BO9" s="4">
        <f t="shared" si="18"/>
        <v>0</v>
      </c>
      <c r="BP9" s="4">
        <f t="shared" si="18"/>
        <v>0</v>
      </c>
      <c r="BQ9" s="4">
        <f t="shared" si="18"/>
        <v>0</v>
      </c>
      <c r="BR9" s="4">
        <f t="shared" si="18"/>
        <v>0</v>
      </c>
      <c r="BS9" s="4">
        <f t="shared" si="18"/>
        <v>0</v>
      </c>
      <c r="BT9" s="4">
        <f t="shared" si="18"/>
        <v>0</v>
      </c>
      <c r="BU9" s="4">
        <f t="shared" si="18"/>
        <v>0</v>
      </c>
      <c r="BV9" s="4">
        <f t="shared" si="18"/>
        <v>1</v>
      </c>
      <c r="BW9" s="4">
        <f t="shared" si="18"/>
        <v>1</v>
      </c>
      <c r="BX9" s="4">
        <f t="shared" si="18"/>
        <v>1</v>
      </c>
      <c r="BY9" s="4">
        <f t="shared" si="18"/>
        <v>1</v>
      </c>
    </row>
    <row r="10">
      <c r="A10" s="1" t="s">
        <v>68</v>
      </c>
      <c r="B10" s="1" t="s">
        <v>69</v>
      </c>
      <c r="C10" s="1" t="s">
        <v>70</v>
      </c>
      <c r="D10" s="1">
        <v>2629200.0</v>
      </c>
      <c r="E10" s="1">
        <v>6259080.0</v>
      </c>
      <c r="F10" s="1">
        <v>4438470.0</v>
      </c>
      <c r="G10" s="1">
        <v>4740050.0</v>
      </c>
      <c r="H10" s="1">
        <v>5263180.0</v>
      </c>
      <c r="I10" s="1">
        <v>5490470.0</v>
      </c>
      <c r="J10" s="1">
        <v>5609120.0</v>
      </c>
      <c r="K10" s="1">
        <v>5717350.0</v>
      </c>
      <c r="L10" s="1">
        <v>5671990.0</v>
      </c>
      <c r="M10" s="1">
        <v>4756320.0</v>
      </c>
      <c r="N10" s="1">
        <v>4031640.0</v>
      </c>
      <c r="O10" s="1">
        <v>2604930.0</v>
      </c>
      <c r="P10" s="1">
        <v>2726630.0</v>
      </c>
      <c r="Q10" s="1">
        <v>5446640.0</v>
      </c>
      <c r="R10" s="1">
        <v>3897850.0</v>
      </c>
      <c r="S10" s="1">
        <v>4259570.0</v>
      </c>
      <c r="T10" s="1">
        <v>4216700.0</v>
      </c>
      <c r="U10" s="1">
        <v>5132760.0</v>
      </c>
      <c r="V10" s="1">
        <v>5650380.0</v>
      </c>
      <c r="W10" s="1">
        <v>1.076219E7</v>
      </c>
      <c r="X10" s="1">
        <v>1.10176E7</v>
      </c>
      <c r="Y10" s="1">
        <v>8405860.0</v>
      </c>
      <c r="Z10" s="1">
        <v>6010940.0</v>
      </c>
      <c r="AA10" s="1">
        <v>4326630.0</v>
      </c>
      <c r="AB10" s="3">
        <f t="shared" si="3"/>
        <v>5377731.25</v>
      </c>
      <c r="AC10" s="4">
        <f t="shared" si="4"/>
        <v>2118443.836</v>
      </c>
      <c r="AD10" s="4">
        <f t="shared" ref="AD10:BA10" si="19">(D10-$AB10)/$AC10</f>
        <v>-1.297429369</v>
      </c>
      <c r="AE10" s="4">
        <f t="shared" si="19"/>
        <v>0.4160359293</v>
      </c>
      <c r="AF10" s="4">
        <f t="shared" si="19"/>
        <v>-0.443373213</v>
      </c>
      <c r="AG10" s="4">
        <f t="shared" si="19"/>
        <v>-0.3010139987</v>
      </c>
      <c r="AH10" s="4">
        <f t="shared" si="19"/>
        <v>-0.05407330044</v>
      </c>
      <c r="AI10" s="4">
        <f t="shared" si="19"/>
        <v>0.05321771958</v>
      </c>
      <c r="AJ10" s="4">
        <f t="shared" si="19"/>
        <v>0.1092258129</v>
      </c>
      <c r="AK10" s="4">
        <f t="shared" si="19"/>
        <v>0.1603152013</v>
      </c>
      <c r="AL10" s="4">
        <f t="shared" si="19"/>
        <v>0.1389032577</v>
      </c>
      <c r="AM10" s="4">
        <f t="shared" si="19"/>
        <v>-0.2933338328</v>
      </c>
      <c r="AN10" s="4">
        <f t="shared" si="19"/>
        <v>-0.6354151228</v>
      </c>
      <c r="AO10" s="4">
        <f t="shared" si="19"/>
        <v>-1.308885892</v>
      </c>
      <c r="AP10" s="4">
        <f t="shared" si="19"/>
        <v>-1.251438063</v>
      </c>
      <c r="AQ10" s="4">
        <f t="shared" si="19"/>
        <v>0.03252800421</v>
      </c>
      <c r="AR10" s="4">
        <f t="shared" si="19"/>
        <v>-0.6985699715</v>
      </c>
      <c r="AS10" s="4">
        <f t="shared" si="19"/>
        <v>-0.5278219942</v>
      </c>
      <c r="AT10" s="4">
        <f t="shared" si="19"/>
        <v>-0.5480585467</v>
      </c>
      <c r="AU10" s="4">
        <f t="shared" si="19"/>
        <v>-0.1156373588</v>
      </c>
      <c r="AV10" s="4">
        <f t="shared" si="19"/>
        <v>0.1287023736</v>
      </c>
      <c r="AW10" s="4">
        <f t="shared" si="19"/>
        <v>2.541704745</v>
      </c>
      <c r="AX10" s="4">
        <f t="shared" si="19"/>
        <v>2.66226966</v>
      </c>
      <c r="AY10" s="4">
        <f t="shared" si="19"/>
        <v>1.429411863</v>
      </c>
      <c r="AZ10" s="4">
        <f t="shared" si="19"/>
        <v>0.2989027792</v>
      </c>
      <c r="BA10" s="4">
        <f t="shared" si="19"/>
        <v>-0.4961666825</v>
      </c>
      <c r="BB10" s="4">
        <f t="shared" ref="BB10:BY10" si="20">IF(AD10&gt;=1,1,0)
</f>
        <v>0</v>
      </c>
      <c r="BC10" s="4">
        <f t="shared" si="20"/>
        <v>0</v>
      </c>
      <c r="BD10" s="4">
        <f t="shared" si="20"/>
        <v>0</v>
      </c>
      <c r="BE10" s="4">
        <f t="shared" si="20"/>
        <v>0</v>
      </c>
      <c r="BF10" s="4">
        <f t="shared" si="20"/>
        <v>0</v>
      </c>
      <c r="BG10" s="4">
        <f t="shared" si="20"/>
        <v>0</v>
      </c>
      <c r="BH10" s="4">
        <f t="shared" si="20"/>
        <v>0</v>
      </c>
      <c r="BI10" s="4">
        <f t="shared" si="20"/>
        <v>0</v>
      </c>
      <c r="BJ10" s="4">
        <f t="shared" si="20"/>
        <v>0</v>
      </c>
      <c r="BK10" s="4">
        <f t="shared" si="20"/>
        <v>0</v>
      </c>
      <c r="BL10" s="4">
        <f t="shared" si="20"/>
        <v>0</v>
      </c>
      <c r="BM10" s="4">
        <f t="shared" si="20"/>
        <v>0</v>
      </c>
      <c r="BN10" s="4">
        <f t="shared" si="20"/>
        <v>0</v>
      </c>
      <c r="BO10" s="4">
        <f t="shared" si="20"/>
        <v>0</v>
      </c>
      <c r="BP10" s="4">
        <f t="shared" si="20"/>
        <v>0</v>
      </c>
      <c r="BQ10" s="4">
        <f t="shared" si="20"/>
        <v>0</v>
      </c>
      <c r="BR10" s="4">
        <f t="shared" si="20"/>
        <v>0</v>
      </c>
      <c r="BS10" s="4">
        <f t="shared" si="20"/>
        <v>0</v>
      </c>
      <c r="BT10" s="4">
        <f t="shared" si="20"/>
        <v>0</v>
      </c>
      <c r="BU10" s="4">
        <f t="shared" si="20"/>
        <v>1</v>
      </c>
      <c r="BV10" s="4">
        <f t="shared" si="20"/>
        <v>1</v>
      </c>
      <c r="BW10" s="4">
        <f t="shared" si="20"/>
        <v>1</v>
      </c>
      <c r="BX10" s="4">
        <f t="shared" si="20"/>
        <v>0</v>
      </c>
      <c r="BY10" s="4">
        <f t="shared" si="20"/>
        <v>0</v>
      </c>
    </row>
    <row r="11">
      <c r="A11" s="1" t="s">
        <v>71</v>
      </c>
      <c r="B11" s="1" t="s">
        <v>72</v>
      </c>
      <c r="C11" s="1" t="s">
        <v>73</v>
      </c>
      <c r="D11" s="1">
        <v>9885820.0</v>
      </c>
      <c r="E11" s="1">
        <v>1.175919E7</v>
      </c>
      <c r="F11" s="1">
        <v>1.150712E7</v>
      </c>
      <c r="G11" s="1">
        <v>1.115755E7</v>
      </c>
      <c r="H11" s="1">
        <v>1.301566E7</v>
      </c>
      <c r="I11" s="1">
        <v>1.107607E7</v>
      </c>
      <c r="J11" s="1">
        <v>1.161632E7</v>
      </c>
      <c r="K11" s="1">
        <v>1.11374E7</v>
      </c>
      <c r="L11" s="1">
        <v>1.130918E7</v>
      </c>
      <c r="M11" s="1">
        <v>1.165883E7</v>
      </c>
      <c r="N11" s="1">
        <v>1.176717E7</v>
      </c>
      <c r="O11" s="1">
        <v>1.095408E7</v>
      </c>
      <c r="P11" s="1">
        <v>1.188017E7</v>
      </c>
      <c r="Q11" s="1">
        <v>1.370734E7</v>
      </c>
      <c r="R11" s="1">
        <v>1.605997E7</v>
      </c>
      <c r="S11" s="1">
        <v>1.356962E7</v>
      </c>
      <c r="T11" s="1">
        <v>1.324242E7</v>
      </c>
      <c r="U11" s="1">
        <v>1.364531E7</v>
      </c>
      <c r="V11" s="1">
        <v>1.118766E7</v>
      </c>
      <c r="W11" s="1">
        <v>1.121955E7</v>
      </c>
      <c r="X11" s="1">
        <v>1.132945E7</v>
      </c>
      <c r="Y11" s="1">
        <v>1.316573E7</v>
      </c>
      <c r="Z11" s="1">
        <v>1.370679E7</v>
      </c>
      <c r="AA11" s="1">
        <v>1.315849E7</v>
      </c>
      <c r="AB11" s="3">
        <f t="shared" si="3"/>
        <v>12196537.08</v>
      </c>
      <c r="AC11" s="4">
        <f t="shared" si="4"/>
        <v>1359851.693</v>
      </c>
      <c r="AD11" s="4">
        <f t="shared" ref="AD11:BA11" si="21">(D11-$AB11)/$AC11</f>
        <v>-1.69924198</v>
      </c>
      <c r="AE11" s="4">
        <f t="shared" si="21"/>
        <v>-0.3216138096</v>
      </c>
      <c r="AF11" s="4">
        <f t="shared" si="21"/>
        <v>-0.5069796118</v>
      </c>
      <c r="AG11" s="4">
        <f t="shared" si="21"/>
        <v>-0.7640444093</v>
      </c>
      <c r="AH11" s="4">
        <f t="shared" si="21"/>
        <v>0.6023619495</v>
      </c>
      <c r="AI11" s="4">
        <f t="shared" si="21"/>
        <v>-0.8239627081</v>
      </c>
      <c r="AJ11" s="4">
        <f t="shared" si="21"/>
        <v>-0.4266767372</v>
      </c>
      <c r="AK11" s="4">
        <f t="shared" si="21"/>
        <v>-0.7788622017</v>
      </c>
      <c r="AL11" s="4">
        <f t="shared" si="21"/>
        <v>-0.6525396027</v>
      </c>
      <c r="AM11" s="4">
        <f t="shared" si="21"/>
        <v>-0.3954159753</v>
      </c>
      <c r="AN11" s="4">
        <f t="shared" si="21"/>
        <v>-0.3157455226</v>
      </c>
      <c r="AO11" s="4">
        <f t="shared" si="21"/>
        <v>-0.9136710202</v>
      </c>
      <c r="AP11" s="4">
        <f t="shared" si="21"/>
        <v>-0.2326482256</v>
      </c>
      <c r="AQ11" s="4">
        <f t="shared" si="21"/>
        <v>1.111005652</v>
      </c>
      <c r="AR11" s="4">
        <f t="shared" si="21"/>
        <v>2.841069315</v>
      </c>
      <c r="AS11" s="4">
        <f t="shared" si="21"/>
        <v>1.009729902</v>
      </c>
      <c r="AT11" s="4">
        <f t="shared" si="21"/>
        <v>0.769115428</v>
      </c>
      <c r="AU11" s="4">
        <f t="shared" si="21"/>
        <v>1.065390384</v>
      </c>
      <c r="AV11" s="4">
        <f t="shared" si="21"/>
        <v>-0.7419022889</v>
      </c>
      <c r="AW11" s="4">
        <f t="shared" si="21"/>
        <v>-0.7184512021</v>
      </c>
      <c r="AX11" s="4">
        <f t="shared" si="21"/>
        <v>-0.6376335655</v>
      </c>
      <c r="AY11" s="4">
        <f t="shared" si="21"/>
        <v>0.7127195722</v>
      </c>
      <c r="AZ11" s="4">
        <f t="shared" si="21"/>
        <v>1.110601196</v>
      </c>
      <c r="BA11" s="4">
        <f t="shared" si="21"/>
        <v>0.7073954622</v>
      </c>
      <c r="BB11" s="4">
        <f t="shared" ref="BB11:BY11" si="22">IF(AD11&gt;=1,1,0)
</f>
        <v>0</v>
      </c>
      <c r="BC11" s="4">
        <f t="shared" si="22"/>
        <v>0</v>
      </c>
      <c r="BD11" s="4">
        <f t="shared" si="22"/>
        <v>0</v>
      </c>
      <c r="BE11" s="4">
        <f t="shared" si="22"/>
        <v>0</v>
      </c>
      <c r="BF11" s="4">
        <f t="shared" si="22"/>
        <v>0</v>
      </c>
      <c r="BG11" s="4">
        <f t="shared" si="22"/>
        <v>0</v>
      </c>
      <c r="BH11" s="4">
        <f t="shared" si="22"/>
        <v>0</v>
      </c>
      <c r="BI11" s="4">
        <f t="shared" si="22"/>
        <v>0</v>
      </c>
      <c r="BJ11" s="4">
        <f t="shared" si="22"/>
        <v>0</v>
      </c>
      <c r="BK11" s="4">
        <f t="shared" si="22"/>
        <v>0</v>
      </c>
      <c r="BL11" s="4">
        <f t="shared" si="22"/>
        <v>0</v>
      </c>
      <c r="BM11" s="4">
        <f t="shared" si="22"/>
        <v>0</v>
      </c>
      <c r="BN11" s="4">
        <f t="shared" si="22"/>
        <v>0</v>
      </c>
      <c r="BO11" s="4">
        <f t="shared" si="22"/>
        <v>1</v>
      </c>
      <c r="BP11" s="4">
        <f t="shared" si="22"/>
        <v>1</v>
      </c>
      <c r="BQ11" s="4">
        <f t="shared" si="22"/>
        <v>1</v>
      </c>
      <c r="BR11" s="4">
        <f t="shared" si="22"/>
        <v>0</v>
      </c>
      <c r="BS11" s="4">
        <f t="shared" si="22"/>
        <v>1</v>
      </c>
      <c r="BT11" s="4">
        <f t="shared" si="22"/>
        <v>0</v>
      </c>
      <c r="BU11" s="4">
        <f t="shared" si="22"/>
        <v>0</v>
      </c>
      <c r="BV11" s="4">
        <f t="shared" si="22"/>
        <v>0</v>
      </c>
      <c r="BW11" s="4">
        <f t="shared" si="22"/>
        <v>0</v>
      </c>
      <c r="BX11" s="4">
        <f t="shared" si="22"/>
        <v>1</v>
      </c>
      <c r="BY11" s="4">
        <f t="shared" si="22"/>
        <v>0</v>
      </c>
    </row>
    <row r="12">
      <c r="A12" s="1" t="s">
        <v>74</v>
      </c>
      <c r="B12" s="1" t="s">
        <v>75</v>
      </c>
      <c r="C12" s="1" t="s">
        <v>76</v>
      </c>
      <c r="D12" s="1">
        <v>2.322422E7</v>
      </c>
      <c r="E12" s="1">
        <v>2.17399E7</v>
      </c>
      <c r="F12" s="1">
        <v>2.255818E7</v>
      </c>
      <c r="G12" s="1">
        <v>2.358916E7</v>
      </c>
      <c r="H12" s="1">
        <v>2.341263E7</v>
      </c>
      <c r="I12" s="1">
        <v>2.380043E7</v>
      </c>
      <c r="J12" s="1">
        <v>2.948111E7</v>
      </c>
      <c r="K12" s="1">
        <v>2.975739E7</v>
      </c>
      <c r="L12" s="1">
        <v>2.885468E7</v>
      </c>
      <c r="M12" s="1">
        <v>2.91079E7</v>
      </c>
      <c r="N12" s="1">
        <v>3.073443E7</v>
      </c>
      <c r="O12" s="1">
        <v>2.747528E7</v>
      </c>
      <c r="P12" s="1">
        <v>2.68439E7</v>
      </c>
      <c r="Q12" s="1">
        <v>2.249578E7</v>
      </c>
      <c r="R12" s="1">
        <v>2.338562E7</v>
      </c>
      <c r="S12" s="1">
        <v>2.689485E7</v>
      </c>
      <c r="T12" s="1">
        <v>2.510312E7</v>
      </c>
      <c r="U12" s="1">
        <v>2.678452E7</v>
      </c>
      <c r="V12" s="1">
        <v>2.758293E7</v>
      </c>
      <c r="W12" s="1">
        <v>2.962406E7</v>
      </c>
      <c r="X12" s="1">
        <v>3.389639E7</v>
      </c>
      <c r="Y12" s="1">
        <v>3.241718E7</v>
      </c>
      <c r="Z12" s="1">
        <v>3.316016E7</v>
      </c>
      <c r="AA12" s="1">
        <v>3.441959E7</v>
      </c>
      <c r="AB12" s="3">
        <f t="shared" si="3"/>
        <v>27347642.08</v>
      </c>
      <c r="AC12" s="4">
        <f t="shared" si="4"/>
        <v>3864385.472</v>
      </c>
      <c r="AD12" s="4">
        <f t="shared" ref="AD12:BA12" si="23">(D12-$AB12)/$AC12</f>
        <v>-1.067031773</v>
      </c>
      <c r="AE12" s="4">
        <f t="shared" si="23"/>
        <v>-1.451134242</v>
      </c>
      <c r="AF12" s="4">
        <f t="shared" si="23"/>
        <v>-1.23938518</v>
      </c>
      <c r="AG12" s="4">
        <f t="shared" si="23"/>
        <v>-0.9725950247</v>
      </c>
      <c r="AH12" s="4">
        <f t="shared" si="23"/>
        <v>-1.018276285</v>
      </c>
      <c r="AI12" s="4">
        <f t="shared" si="23"/>
        <v>-0.9179239776</v>
      </c>
      <c r="AJ12" s="4">
        <f t="shared" si="23"/>
        <v>0.5520846542</v>
      </c>
      <c r="AK12" s="4">
        <f t="shared" si="23"/>
        <v>0.6235785571</v>
      </c>
      <c r="AL12" s="4">
        <f t="shared" si="23"/>
        <v>0.3899812603</v>
      </c>
      <c r="AM12" s="4">
        <f t="shared" si="23"/>
        <v>0.4555078497</v>
      </c>
      <c r="AN12" s="4">
        <f t="shared" si="23"/>
        <v>0.8764104775</v>
      </c>
      <c r="AO12" s="4">
        <f t="shared" si="23"/>
        <v>0.03302929213</v>
      </c>
      <c r="AP12" s="4">
        <f t="shared" si="23"/>
        <v>-0.1303550298</v>
      </c>
      <c r="AQ12" s="4">
        <f t="shared" si="23"/>
        <v>-1.255532637</v>
      </c>
      <c r="AR12" s="4">
        <f t="shared" si="23"/>
        <v>-1.025265754</v>
      </c>
      <c r="AS12" s="4">
        <f t="shared" si="23"/>
        <v>-0.1171705273</v>
      </c>
      <c r="AT12" s="4">
        <f t="shared" si="23"/>
        <v>-0.5808225136</v>
      </c>
      <c r="AU12" s="4">
        <f t="shared" si="23"/>
        <v>-0.1457209917</v>
      </c>
      <c r="AV12" s="4">
        <f t="shared" si="23"/>
        <v>0.06088624398</v>
      </c>
      <c r="AW12" s="4">
        <f t="shared" si="23"/>
        <v>0.5890763055</v>
      </c>
      <c r="AX12" s="4">
        <f t="shared" si="23"/>
        <v>1.69464148</v>
      </c>
      <c r="AY12" s="4">
        <f t="shared" si="23"/>
        <v>1.311861343</v>
      </c>
      <c r="AZ12" s="4">
        <f t="shared" si="23"/>
        <v>1.504124772</v>
      </c>
      <c r="BA12" s="4">
        <f t="shared" si="23"/>
        <v>1.830031701</v>
      </c>
      <c r="BB12" s="4">
        <f t="shared" ref="BB12:BY12" si="24">IF(AD12&gt;=1,1,0)
</f>
        <v>0</v>
      </c>
      <c r="BC12" s="4">
        <f t="shared" si="24"/>
        <v>0</v>
      </c>
      <c r="BD12" s="4">
        <f t="shared" si="24"/>
        <v>0</v>
      </c>
      <c r="BE12" s="4">
        <f t="shared" si="24"/>
        <v>0</v>
      </c>
      <c r="BF12" s="4">
        <f t="shared" si="24"/>
        <v>0</v>
      </c>
      <c r="BG12" s="4">
        <f t="shared" si="24"/>
        <v>0</v>
      </c>
      <c r="BH12" s="4">
        <f t="shared" si="24"/>
        <v>0</v>
      </c>
      <c r="BI12" s="4">
        <f t="shared" si="24"/>
        <v>0</v>
      </c>
      <c r="BJ12" s="4">
        <f t="shared" si="24"/>
        <v>0</v>
      </c>
      <c r="BK12" s="4">
        <f t="shared" si="24"/>
        <v>0</v>
      </c>
      <c r="BL12" s="4">
        <f t="shared" si="24"/>
        <v>0</v>
      </c>
      <c r="BM12" s="4">
        <f t="shared" si="24"/>
        <v>0</v>
      </c>
      <c r="BN12" s="4">
        <f t="shared" si="24"/>
        <v>0</v>
      </c>
      <c r="BO12" s="4">
        <f t="shared" si="24"/>
        <v>0</v>
      </c>
      <c r="BP12" s="4">
        <f t="shared" si="24"/>
        <v>0</v>
      </c>
      <c r="BQ12" s="4">
        <f t="shared" si="24"/>
        <v>0</v>
      </c>
      <c r="BR12" s="4">
        <f t="shared" si="24"/>
        <v>0</v>
      </c>
      <c r="BS12" s="4">
        <f t="shared" si="24"/>
        <v>0</v>
      </c>
      <c r="BT12" s="4">
        <f t="shared" si="24"/>
        <v>0</v>
      </c>
      <c r="BU12" s="4">
        <f t="shared" si="24"/>
        <v>0</v>
      </c>
      <c r="BV12" s="4">
        <f t="shared" si="24"/>
        <v>1</v>
      </c>
      <c r="BW12" s="4">
        <f t="shared" si="24"/>
        <v>1</v>
      </c>
      <c r="BX12" s="4">
        <f t="shared" si="24"/>
        <v>1</v>
      </c>
      <c r="BY12" s="4">
        <f t="shared" si="24"/>
        <v>1</v>
      </c>
    </row>
    <row r="13">
      <c r="A13" s="1" t="s">
        <v>77</v>
      </c>
      <c r="B13" s="1" t="s">
        <v>54</v>
      </c>
      <c r="C13" s="1" t="s">
        <v>55</v>
      </c>
      <c r="D13" s="1">
        <v>2581870.0</v>
      </c>
      <c r="E13" s="1">
        <v>1959690.0</v>
      </c>
      <c r="F13" s="1">
        <v>1531040.0</v>
      </c>
      <c r="G13" s="1">
        <v>1612540.0</v>
      </c>
      <c r="H13" s="1">
        <v>1436370.0</v>
      </c>
      <c r="I13" s="1">
        <v>1528880.0</v>
      </c>
      <c r="J13" s="1">
        <v>1479550.0</v>
      </c>
      <c r="K13" s="1">
        <v>1739030.0</v>
      </c>
      <c r="L13" s="1">
        <v>1446960.0</v>
      </c>
      <c r="M13" s="1">
        <v>1413510.0</v>
      </c>
      <c r="N13" s="1">
        <v>1470280.0</v>
      </c>
      <c r="O13" s="1">
        <v>1955280.0</v>
      </c>
      <c r="P13" s="1">
        <v>1720800.0</v>
      </c>
      <c r="Q13" s="1">
        <v>1564860.0</v>
      </c>
      <c r="R13" s="1">
        <v>1222440.0</v>
      </c>
      <c r="S13" s="1">
        <v>1420910.0</v>
      </c>
      <c r="T13" s="1">
        <v>1428500.0</v>
      </c>
      <c r="U13" s="1">
        <v>1870110.0</v>
      </c>
      <c r="V13" s="1">
        <v>1550340.0</v>
      </c>
      <c r="W13" s="1">
        <v>1749150.0</v>
      </c>
      <c r="X13" s="1">
        <v>1692120.0</v>
      </c>
      <c r="Y13" s="1">
        <v>1608940.0</v>
      </c>
      <c r="Z13" s="1">
        <v>1723300.0</v>
      </c>
      <c r="AA13" s="1">
        <v>1894320.0</v>
      </c>
      <c r="AB13" s="3">
        <f t="shared" si="3"/>
        <v>1650032.917</v>
      </c>
      <c r="AC13" s="4">
        <f t="shared" si="4"/>
        <v>274505.841</v>
      </c>
      <c r="AD13" s="4">
        <f t="shared" ref="AD13:BA13" si="25">(D13-$AB13)/$AC13</f>
        <v>3.39459838</v>
      </c>
      <c r="AE13" s="4">
        <f t="shared" si="25"/>
        <v>1.128052803</v>
      </c>
      <c r="AF13" s="4">
        <f t="shared" si="25"/>
        <v>-0.4334804543</v>
      </c>
      <c r="AG13" s="4">
        <f t="shared" si="25"/>
        <v>-0.136583311</v>
      </c>
      <c r="AH13" s="4">
        <f t="shared" si="25"/>
        <v>-0.7783547187</v>
      </c>
      <c r="AI13" s="4">
        <f t="shared" si="25"/>
        <v>-0.4413491393</v>
      </c>
      <c r="AJ13" s="4">
        <f t="shared" si="25"/>
        <v>-0.6210538764</v>
      </c>
      <c r="AK13" s="4">
        <f t="shared" si="25"/>
        <v>0.3242083411</v>
      </c>
      <c r="AL13" s="4">
        <f t="shared" si="25"/>
        <v>-0.7397763046</v>
      </c>
      <c r="AM13" s="4">
        <f t="shared" si="25"/>
        <v>-0.8616316352</v>
      </c>
      <c r="AN13" s="4">
        <f t="shared" si="25"/>
        <v>-0.6548236497</v>
      </c>
      <c r="AO13" s="4">
        <f t="shared" si="25"/>
        <v>1.111987571</v>
      </c>
      <c r="AP13" s="4">
        <f t="shared" si="25"/>
        <v>0.2577980967</v>
      </c>
      <c r="AQ13" s="4">
        <f t="shared" si="25"/>
        <v>-0.3102772471</v>
      </c>
      <c r="AR13" s="4">
        <f t="shared" si="25"/>
        <v>-1.557682398</v>
      </c>
      <c r="AS13" s="4">
        <f t="shared" si="25"/>
        <v>-0.8346741032</v>
      </c>
      <c r="AT13" s="4">
        <f t="shared" si="25"/>
        <v>-0.8070244183</v>
      </c>
      <c r="AU13" s="4">
        <f t="shared" si="25"/>
        <v>0.8017209489</v>
      </c>
      <c r="AV13" s="4">
        <f t="shared" si="25"/>
        <v>-0.3631722964</v>
      </c>
      <c r="AW13" s="4">
        <f t="shared" si="25"/>
        <v>0.3610745876</v>
      </c>
      <c r="AX13" s="4">
        <f t="shared" si="25"/>
        <v>0.1533194455</v>
      </c>
      <c r="AY13" s="4">
        <f t="shared" si="25"/>
        <v>-0.1496977861</v>
      </c>
      <c r="AZ13" s="4">
        <f t="shared" si="25"/>
        <v>0.266905371</v>
      </c>
      <c r="BA13" s="4">
        <f t="shared" si="25"/>
        <v>0.8899157935</v>
      </c>
      <c r="BB13" s="4">
        <f t="shared" ref="BB13:BY13" si="26">IF(AD13&gt;=1,1,0)
</f>
        <v>1</v>
      </c>
      <c r="BC13" s="4">
        <f t="shared" si="26"/>
        <v>1</v>
      </c>
      <c r="BD13" s="4">
        <f t="shared" si="26"/>
        <v>0</v>
      </c>
      <c r="BE13" s="4">
        <f t="shared" si="26"/>
        <v>0</v>
      </c>
      <c r="BF13" s="4">
        <f t="shared" si="26"/>
        <v>0</v>
      </c>
      <c r="BG13" s="4">
        <f t="shared" si="26"/>
        <v>0</v>
      </c>
      <c r="BH13" s="4">
        <f t="shared" si="26"/>
        <v>0</v>
      </c>
      <c r="BI13" s="4">
        <f t="shared" si="26"/>
        <v>0</v>
      </c>
      <c r="BJ13" s="4">
        <f t="shared" si="26"/>
        <v>0</v>
      </c>
      <c r="BK13" s="4">
        <f t="shared" si="26"/>
        <v>0</v>
      </c>
      <c r="BL13" s="4">
        <f t="shared" si="26"/>
        <v>0</v>
      </c>
      <c r="BM13" s="4">
        <f t="shared" si="26"/>
        <v>1</v>
      </c>
      <c r="BN13" s="4">
        <f t="shared" si="26"/>
        <v>0</v>
      </c>
      <c r="BO13" s="4">
        <f t="shared" si="26"/>
        <v>0</v>
      </c>
      <c r="BP13" s="4">
        <f t="shared" si="26"/>
        <v>0</v>
      </c>
      <c r="BQ13" s="4">
        <f t="shared" si="26"/>
        <v>0</v>
      </c>
      <c r="BR13" s="4">
        <f t="shared" si="26"/>
        <v>0</v>
      </c>
      <c r="BS13" s="4">
        <f t="shared" si="26"/>
        <v>0</v>
      </c>
      <c r="BT13" s="4">
        <f t="shared" si="26"/>
        <v>0</v>
      </c>
      <c r="BU13" s="4">
        <f t="shared" si="26"/>
        <v>0</v>
      </c>
      <c r="BV13" s="4">
        <f t="shared" si="26"/>
        <v>0</v>
      </c>
      <c r="BW13" s="4">
        <f t="shared" si="26"/>
        <v>0</v>
      </c>
      <c r="BX13" s="4">
        <f t="shared" si="26"/>
        <v>0</v>
      </c>
      <c r="BY13" s="4">
        <f t="shared" si="26"/>
        <v>0</v>
      </c>
    </row>
    <row r="14">
      <c r="A14" s="1" t="s">
        <v>78</v>
      </c>
      <c r="B14" s="1" t="s">
        <v>79</v>
      </c>
      <c r="C14" s="1" t="s">
        <v>80</v>
      </c>
      <c r="D14" s="1">
        <v>4058770.0</v>
      </c>
      <c r="E14" s="1">
        <v>4365420.0</v>
      </c>
      <c r="F14" s="1">
        <v>6213450.0</v>
      </c>
      <c r="G14" s="1">
        <v>5174980.0</v>
      </c>
      <c r="H14" s="1">
        <v>4861590.0</v>
      </c>
      <c r="I14" s="1">
        <v>5222910.0</v>
      </c>
      <c r="J14" s="1">
        <v>6673070.0</v>
      </c>
      <c r="K14" s="1">
        <v>7012830.0</v>
      </c>
      <c r="L14" s="1">
        <v>6801260.0</v>
      </c>
      <c r="M14" s="1">
        <v>6227030.0</v>
      </c>
      <c r="N14" s="1">
        <v>6514360.0</v>
      </c>
      <c r="O14" s="1">
        <v>9397990.0</v>
      </c>
      <c r="P14" s="1">
        <v>8395140.0</v>
      </c>
      <c r="Q14" s="1">
        <v>7880060.0</v>
      </c>
      <c r="R14" s="1">
        <v>6484750.0</v>
      </c>
      <c r="S14" s="1">
        <v>6566010.0</v>
      </c>
      <c r="T14" s="1">
        <v>6080080.0</v>
      </c>
      <c r="U14" s="1">
        <v>7371780.0</v>
      </c>
      <c r="V14" s="1">
        <v>6437560.0</v>
      </c>
      <c r="W14" s="1">
        <v>7942980.0</v>
      </c>
      <c r="X14" s="1">
        <v>7506160.0</v>
      </c>
      <c r="Y14" s="1">
        <v>6686450.0</v>
      </c>
      <c r="Z14" s="1">
        <v>6457550.0</v>
      </c>
      <c r="AA14" s="1">
        <v>7795760.0</v>
      </c>
      <c r="AB14" s="3">
        <f t="shared" si="3"/>
        <v>6588664.167</v>
      </c>
      <c r="AC14" s="4">
        <f t="shared" si="4"/>
        <v>1261267.839</v>
      </c>
      <c r="AD14" s="4">
        <f t="shared" ref="AD14:BA14" si="27">(D14-$AB14)/$AC14</f>
        <v>-2.0058342</v>
      </c>
      <c r="AE14" s="4">
        <f t="shared" si="27"/>
        <v>-1.762705826</v>
      </c>
      <c r="AF14" s="4">
        <f t="shared" si="27"/>
        <v>-0.2974896808</v>
      </c>
      <c r="AG14" s="4">
        <f t="shared" si="27"/>
        <v>-1.120843744</v>
      </c>
      <c r="AH14" s="4">
        <f t="shared" si="27"/>
        <v>-1.369315948</v>
      </c>
      <c r="AI14" s="4">
        <f t="shared" si="27"/>
        <v>-1.0828423</v>
      </c>
      <c r="AJ14" s="4">
        <f t="shared" si="27"/>
        <v>0.06692141887</v>
      </c>
      <c r="AK14" s="4">
        <f t="shared" si="27"/>
        <v>0.3363011569</v>
      </c>
      <c r="AL14" s="4">
        <f t="shared" si="27"/>
        <v>0.168557246</v>
      </c>
      <c r="AM14" s="4">
        <f t="shared" si="27"/>
        <v>-0.2867227369</v>
      </c>
      <c r="AN14" s="4">
        <f t="shared" si="27"/>
        <v>-0.05891228206</v>
      </c>
      <c r="AO14" s="4">
        <f t="shared" si="27"/>
        <v>2.227382438</v>
      </c>
      <c r="AP14" s="4">
        <f t="shared" si="27"/>
        <v>1.432269799</v>
      </c>
      <c r="AQ14" s="4">
        <f t="shared" si="27"/>
        <v>1.023887071</v>
      </c>
      <c r="AR14" s="4">
        <f t="shared" si="27"/>
        <v>-0.08238865964</v>
      </c>
      <c r="AS14" s="4">
        <f t="shared" si="27"/>
        <v>-0.01796142419</v>
      </c>
      <c r="AT14" s="4">
        <f t="shared" si="27"/>
        <v>-0.4032324865</v>
      </c>
      <c r="AU14" s="4">
        <f t="shared" si="27"/>
        <v>0.6208957442</v>
      </c>
      <c r="AV14" s="4">
        <f t="shared" si="27"/>
        <v>-0.1198033931</v>
      </c>
      <c r="AW14" s="4">
        <f t="shared" si="27"/>
        <v>1.073773383</v>
      </c>
      <c r="AX14" s="4">
        <f t="shared" si="27"/>
        <v>0.7274393315</v>
      </c>
      <c r="AY14" s="4">
        <f t="shared" si="27"/>
        <v>0.07752979212</v>
      </c>
      <c r="AZ14" s="4">
        <f t="shared" si="27"/>
        <v>-0.1039542615</v>
      </c>
      <c r="BA14" s="4">
        <f t="shared" si="27"/>
        <v>0.9570495627</v>
      </c>
      <c r="BB14" s="4">
        <f t="shared" ref="BB14:BY14" si="28">IF(AD14&gt;=1,1,0)
</f>
        <v>0</v>
      </c>
      <c r="BC14" s="4">
        <f t="shared" si="28"/>
        <v>0</v>
      </c>
      <c r="BD14" s="4">
        <f t="shared" si="28"/>
        <v>0</v>
      </c>
      <c r="BE14" s="4">
        <f t="shared" si="28"/>
        <v>0</v>
      </c>
      <c r="BF14" s="4">
        <f t="shared" si="28"/>
        <v>0</v>
      </c>
      <c r="BG14" s="4">
        <f t="shared" si="28"/>
        <v>0</v>
      </c>
      <c r="BH14" s="4">
        <f t="shared" si="28"/>
        <v>0</v>
      </c>
      <c r="BI14" s="4">
        <f t="shared" si="28"/>
        <v>0</v>
      </c>
      <c r="BJ14" s="4">
        <f t="shared" si="28"/>
        <v>0</v>
      </c>
      <c r="BK14" s="4">
        <f t="shared" si="28"/>
        <v>0</v>
      </c>
      <c r="BL14" s="4">
        <f t="shared" si="28"/>
        <v>0</v>
      </c>
      <c r="BM14" s="4">
        <f t="shared" si="28"/>
        <v>1</v>
      </c>
      <c r="BN14" s="4">
        <f t="shared" si="28"/>
        <v>1</v>
      </c>
      <c r="BO14" s="4">
        <f t="shared" si="28"/>
        <v>1</v>
      </c>
      <c r="BP14" s="4">
        <f t="shared" si="28"/>
        <v>0</v>
      </c>
      <c r="BQ14" s="4">
        <f t="shared" si="28"/>
        <v>0</v>
      </c>
      <c r="BR14" s="4">
        <f t="shared" si="28"/>
        <v>0</v>
      </c>
      <c r="BS14" s="4">
        <f t="shared" si="28"/>
        <v>0</v>
      </c>
      <c r="BT14" s="4">
        <f t="shared" si="28"/>
        <v>0</v>
      </c>
      <c r="BU14" s="4">
        <f t="shared" si="28"/>
        <v>1</v>
      </c>
      <c r="BV14" s="4">
        <f t="shared" si="28"/>
        <v>0</v>
      </c>
      <c r="BW14" s="4">
        <f t="shared" si="28"/>
        <v>0</v>
      </c>
      <c r="BX14" s="4">
        <f t="shared" si="28"/>
        <v>0</v>
      </c>
      <c r="BY14" s="4">
        <f t="shared" si="28"/>
        <v>0</v>
      </c>
    </row>
    <row r="15">
      <c r="A15" s="1" t="s">
        <v>81</v>
      </c>
      <c r="B15" s="1" t="s">
        <v>79</v>
      </c>
      <c r="C15" s="1" t="s">
        <v>82</v>
      </c>
      <c r="D15" s="1">
        <v>226730.0</v>
      </c>
      <c r="E15" s="1">
        <v>304030.0</v>
      </c>
      <c r="F15" s="1">
        <v>281660.0</v>
      </c>
      <c r="G15" s="1">
        <v>334200.0</v>
      </c>
      <c r="H15" s="1">
        <v>277800.0</v>
      </c>
      <c r="I15" s="1">
        <v>293940.0</v>
      </c>
      <c r="J15" s="1">
        <v>382060.0</v>
      </c>
      <c r="K15" s="1">
        <v>546080.0</v>
      </c>
      <c r="L15" s="1">
        <v>601040.0</v>
      </c>
      <c r="M15" s="1">
        <v>659510.0</v>
      </c>
      <c r="N15" s="1">
        <v>753010.0</v>
      </c>
      <c r="O15" s="1">
        <v>1123290.0</v>
      </c>
      <c r="P15" s="1">
        <v>1207530.0</v>
      </c>
      <c r="Q15" s="1">
        <v>1383210.0</v>
      </c>
      <c r="R15" s="1">
        <v>948140.0</v>
      </c>
      <c r="S15" s="1">
        <v>1316550.0</v>
      </c>
      <c r="T15" s="1">
        <v>1274160.0</v>
      </c>
      <c r="U15" s="1">
        <v>1249600.0</v>
      </c>
      <c r="V15" s="1">
        <v>1040040.0</v>
      </c>
      <c r="W15" s="1">
        <v>1459440.0</v>
      </c>
      <c r="X15" s="1">
        <v>1439540.0</v>
      </c>
      <c r="Y15" s="1">
        <v>1184420.0</v>
      </c>
      <c r="Z15" s="1">
        <v>1432170.0</v>
      </c>
      <c r="AA15" s="1">
        <v>2073480.0</v>
      </c>
      <c r="AB15" s="3">
        <f t="shared" si="3"/>
        <v>907984.5833</v>
      </c>
      <c r="AC15" s="4">
        <f t="shared" si="4"/>
        <v>511052.3218</v>
      </c>
      <c r="AD15" s="4">
        <f t="shared" ref="AD15:BA15" si="29">(D15-$AB15)/$AC15</f>
        <v>-1.333042732</v>
      </c>
      <c r="AE15" s="4">
        <f t="shared" si="29"/>
        <v>-1.181786204</v>
      </c>
      <c r="AF15" s="4">
        <f t="shared" si="29"/>
        <v>-1.22555863</v>
      </c>
      <c r="AG15" s="4">
        <f t="shared" si="29"/>
        <v>-1.122751153</v>
      </c>
      <c r="AH15" s="4">
        <f t="shared" si="29"/>
        <v>-1.233111673</v>
      </c>
      <c r="AI15" s="4">
        <f t="shared" si="29"/>
        <v>-1.201529779</v>
      </c>
      <c r="AJ15" s="4">
        <f t="shared" si="29"/>
        <v>-1.02910125</v>
      </c>
      <c r="AK15" s="4">
        <f t="shared" si="29"/>
        <v>-0.7081556387</v>
      </c>
      <c r="AL15" s="4">
        <f t="shared" si="29"/>
        <v>-0.6006128341</v>
      </c>
      <c r="AM15" s="4">
        <f t="shared" si="29"/>
        <v>-0.4862018481</v>
      </c>
      <c r="AN15" s="4">
        <f t="shared" si="29"/>
        <v>-0.3032460215</v>
      </c>
      <c r="AO15" s="4">
        <f t="shared" si="29"/>
        <v>0.4212981871</v>
      </c>
      <c r="AP15" s="4">
        <f t="shared" si="29"/>
        <v>0.5861345383</v>
      </c>
      <c r="AQ15" s="4">
        <f t="shared" si="29"/>
        <v>0.9298958178</v>
      </c>
      <c r="AR15" s="4">
        <f t="shared" si="29"/>
        <v>0.07857398344</v>
      </c>
      <c r="AS15" s="4">
        <f t="shared" si="29"/>
        <v>0.7994590755</v>
      </c>
      <c r="AT15" s="4">
        <f t="shared" si="29"/>
        <v>0.7165125782</v>
      </c>
      <c r="AU15" s="4">
        <f t="shared" si="29"/>
        <v>0.6684548766</v>
      </c>
      <c r="AV15" s="4">
        <f t="shared" si="29"/>
        <v>0.2583990152</v>
      </c>
      <c r="AW15" s="4">
        <f t="shared" si="29"/>
        <v>1.079058627</v>
      </c>
      <c r="AX15" s="4">
        <f t="shared" si="29"/>
        <v>1.040119366</v>
      </c>
      <c r="AY15" s="4">
        <f t="shared" si="29"/>
        <v>0.5409141195</v>
      </c>
      <c r="AZ15" s="4">
        <f t="shared" si="29"/>
        <v>1.025698142</v>
      </c>
      <c r="BA15" s="4">
        <f t="shared" si="29"/>
        <v>2.280579438</v>
      </c>
      <c r="BB15" s="4">
        <f t="shared" ref="BB15:BY15" si="30">IF(AD15&gt;=1,1,0)
</f>
        <v>0</v>
      </c>
      <c r="BC15" s="4">
        <f t="shared" si="30"/>
        <v>0</v>
      </c>
      <c r="BD15" s="4">
        <f t="shared" si="30"/>
        <v>0</v>
      </c>
      <c r="BE15" s="4">
        <f t="shared" si="30"/>
        <v>0</v>
      </c>
      <c r="BF15" s="4">
        <f t="shared" si="30"/>
        <v>0</v>
      </c>
      <c r="BG15" s="4">
        <f t="shared" si="30"/>
        <v>0</v>
      </c>
      <c r="BH15" s="4">
        <f t="shared" si="30"/>
        <v>0</v>
      </c>
      <c r="BI15" s="4">
        <f t="shared" si="30"/>
        <v>0</v>
      </c>
      <c r="BJ15" s="4">
        <f t="shared" si="30"/>
        <v>0</v>
      </c>
      <c r="BK15" s="4">
        <f t="shared" si="30"/>
        <v>0</v>
      </c>
      <c r="BL15" s="4">
        <f t="shared" si="30"/>
        <v>0</v>
      </c>
      <c r="BM15" s="4">
        <f t="shared" si="30"/>
        <v>0</v>
      </c>
      <c r="BN15" s="4">
        <f t="shared" si="30"/>
        <v>0</v>
      </c>
      <c r="BO15" s="4">
        <f t="shared" si="30"/>
        <v>0</v>
      </c>
      <c r="BP15" s="4">
        <f t="shared" si="30"/>
        <v>0</v>
      </c>
      <c r="BQ15" s="4">
        <f t="shared" si="30"/>
        <v>0</v>
      </c>
      <c r="BR15" s="4">
        <f t="shared" si="30"/>
        <v>0</v>
      </c>
      <c r="BS15" s="4">
        <f t="shared" si="30"/>
        <v>0</v>
      </c>
      <c r="BT15" s="4">
        <f t="shared" si="30"/>
        <v>0</v>
      </c>
      <c r="BU15" s="4">
        <f t="shared" si="30"/>
        <v>1</v>
      </c>
      <c r="BV15" s="4">
        <f t="shared" si="30"/>
        <v>1</v>
      </c>
      <c r="BW15" s="4">
        <f t="shared" si="30"/>
        <v>0</v>
      </c>
      <c r="BX15" s="4">
        <f t="shared" si="30"/>
        <v>1</v>
      </c>
      <c r="BY15" s="4">
        <f t="shared" si="30"/>
        <v>1</v>
      </c>
    </row>
    <row r="16">
      <c r="A16" s="1" t="s">
        <v>83</v>
      </c>
      <c r="B16" s="1" t="s">
        <v>79</v>
      </c>
      <c r="C16" s="1" t="s">
        <v>82</v>
      </c>
      <c r="D16" s="1">
        <v>416370.0</v>
      </c>
      <c r="E16" s="1">
        <v>414130.0</v>
      </c>
      <c r="F16" s="1">
        <v>509810.0</v>
      </c>
      <c r="G16" s="1">
        <v>472270.0</v>
      </c>
      <c r="H16" s="1">
        <v>427460.0</v>
      </c>
      <c r="I16" s="1">
        <v>397690.0</v>
      </c>
      <c r="J16" s="1">
        <v>389250.0</v>
      </c>
      <c r="K16" s="1">
        <v>457700.0</v>
      </c>
      <c r="L16" s="1">
        <v>445010.0</v>
      </c>
      <c r="M16" s="1">
        <v>560190.0</v>
      </c>
      <c r="N16" s="1">
        <v>470140.0</v>
      </c>
      <c r="O16" s="1">
        <v>467190.0</v>
      </c>
      <c r="P16" s="1">
        <v>424690.0</v>
      </c>
      <c r="Q16" s="1">
        <v>467940.0</v>
      </c>
      <c r="R16" s="1">
        <v>457610.0</v>
      </c>
      <c r="S16" s="1">
        <v>659500.0</v>
      </c>
      <c r="T16" s="1">
        <v>915420.0</v>
      </c>
      <c r="U16" s="1">
        <v>926640.0</v>
      </c>
      <c r="V16" s="1">
        <v>704880.0</v>
      </c>
      <c r="W16" s="1">
        <v>822470.0</v>
      </c>
      <c r="X16" s="1">
        <v>635670.0</v>
      </c>
      <c r="Y16" s="1">
        <v>640350.0</v>
      </c>
      <c r="Z16" s="1">
        <v>594350.0</v>
      </c>
      <c r="AA16" s="1">
        <v>551960.0</v>
      </c>
      <c r="AB16" s="3">
        <f t="shared" si="3"/>
        <v>551195.4167</v>
      </c>
      <c r="AC16" s="4">
        <f t="shared" si="4"/>
        <v>158104.2085</v>
      </c>
      <c r="AD16" s="4">
        <f t="shared" ref="AD16:BA16" si="31">(D16-$AB16)/$AC16</f>
        <v>-0.8527629844</v>
      </c>
      <c r="AE16" s="4">
        <f t="shared" si="31"/>
        <v>-0.8669308552</v>
      </c>
      <c r="AF16" s="4">
        <f t="shared" si="31"/>
        <v>-0.2617603735</v>
      </c>
      <c r="AG16" s="4">
        <f t="shared" si="31"/>
        <v>-0.4991987084</v>
      </c>
      <c r="AH16" s="4">
        <f t="shared" si="31"/>
        <v>-0.782619374</v>
      </c>
      <c r="AI16" s="4">
        <f t="shared" si="31"/>
        <v>-0.970912907</v>
      </c>
      <c r="AJ16" s="4">
        <f t="shared" si="31"/>
        <v>-1.02429542</v>
      </c>
      <c r="AK16" s="4">
        <f t="shared" si="31"/>
        <v>-0.5913531181</v>
      </c>
      <c r="AL16" s="4">
        <f t="shared" si="31"/>
        <v>-0.6716166362</v>
      </c>
      <c r="AM16" s="4">
        <f t="shared" si="31"/>
        <v>0.05689022082</v>
      </c>
      <c r="AN16" s="4">
        <f t="shared" si="31"/>
        <v>-0.5126708356</v>
      </c>
      <c r="AO16" s="4">
        <f t="shared" si="31"/>
        <v>-0.5313294154</v>
      </c>
      <c r="AP16" s="4">
        <f t="shared" si="31"/>
        <v>-0.8001394642</v>
      </c>
      <c r="AQ16" s="4">
        <f t="shared" si="31"/>
        <v>-0.5265857087</v>
      </c>
      <c r="AR16" s="4">
        <f t="shared" si="31"/>
        <v>-0.5919223629</v>
      </c>
      <c r="AS16" s="4">
        <f t="shared" si="31"/>
        <v>0.6850202431</v>
      </c>
      <c r="AT16" s="4">
        <f t="shared" si="31"/>
        <v>2.303699483</v>
      </c>
      <c r="AU16" s="4">
        <f t="shared" si="31"/>
        <v>2.374665336</v>
      </c>
      <c r="AV16" s="4">
        <f t="shared" si="31"/>
        <v>0.9720461259</v>
      </c>
      <c r="AW16" s="4">
        <f t="shared" si="31"/>
        <v>1.715796094</v>
      </c>
      <c r="AX16" s="4">
        <f t="shared" si="31"/>
        <v>0.5342968675</v>
      </c>
      <c r="AY16" s="4">
        <f t="shared" si="31"/>
        <v>0.5638975976</v>
      </c>
      <c r="AZ16" s="4">
        <f t="shared" si="31"/>
        <v>0.2729502507</v>
      </c>
      <c r="BA16" s="4">
        <f t="shared" si="31"/>
        <v>0.004835945486</v>
      </c>
      <c r="BB16" s="4">
        <f t="shared" ref="BB16:BY16" si="32">IF(AD16&gt;=1,1,0)
</f>
        <v>0</v>
      </c>
      <c r="BC16" s="4">
        <f t="shared" si="32"/>
        <v>0</v>
      </c>
      <c r="BD16" s="4">
        <f t="shared" si="32"/>
        <v>0</v>
      </c>
      <c r="BE16" s="4">
        <f t="shared" si="32"/>
        <v>0</v>
      </c>
      <c r="BF16" s="4">
        <f t="shared" si="32"/>
        <v>0</v>
      </c>
      <c r="BG16" s="4">
        <f t="shared" si="32"/>
        <v>0</v>
      </c>
      <c r="BH16" s="4">
        <f t="shared" si="32"/>
        <v>0</v>
      </c>
      <c r="BI16" s="4">
        <f t="shared" si="32"/>
        <v>0</v>
      </c>
      <c r="BJ16" s="4">
        <f t="shared" si="32"/>
        <v>0</v>
      </c>
      <c r="BK16" s="4">
        <f t="shared" si="32"/>
        <v>0</v>
      </c>
      <c r="BL16" s="4">
        <f t="shared" si="32"/>
        <v>0</v>
      </c>
      <c r="BM16" s="4">
        <f t="shared" si="32"/>
        <v>0</v>
      </c>
      <c r="BN16" s="4">
        <f t="shared" si="32"/>
        <v>0</v>
      </c>
      <c r="BO16" s="4">
        <f t="shared" si="32"/>
        <v>0</v>
      </c>
      <c r="BP16" s="4">
        <f t="shared" si="32"/>
        <v>0</v>
      </c>
      <c r="BQ16" s="4">
        <f t="shared" si="32"/>
        <v>0</v>
      </c>
      <c r="BR16" s="4">
        <f t="shared" si="32"/>
        <v>1</v>
      </c>
      <c r="BS16" s="4">
        <f t="shared" si="32"/>
        <v>1</v>
      </c>
      <c r="BT16" s="4">
        <f t="shared" si="32"/>
        <v>0</v>
      </c>
      <c r="BU16" s="4">
        <f t="shared" si="32"/>
        <v>1</v>
      </c>
      <c r="BV16" s="4">
        <f t="shared" si="32"/>
        <v>0</v>
      </c>
      <c r="BW16" s="4">
        <f t="shared" si="32"/>
        <v>0</v>
      </c>
      <c r="BX16" s="4">
        <f t="shared" si="32"/>
        <v>0</v>
      </c>
      <c r="BY16" s="4">
        <f t="shared" si="32"/>
        <v>0</v>
      </c>
    </row>
    <row r="17">
      <c r="A17" s="5" t="s">
        <v>84</v>
      </c>
      <c r="B17" s="1" t="s">
        <v>63</v>
      </c>
      <c r="C17" s="1" t="s">
        <v>64</v>
      </c>
      <c r="D17" s="1">
        <v>2.149228E7</v>
      </c>
      <c r="E17" s="1">
        <v>1.780022E7</v>
      </c>
      <c r="F17" s="1">
        <v>1.817831E7</v>
      </c>
      <c r="G17" s="1">
        <v>1.723908E7</v>
      </c>
      <c r="H17" s="1">
        <v>1.678302E7</v>
      </c>
      <c r="I17" s="1">
        <v>1.549989E7</v>
      </c>
      <c r="J17" s="1">
        <v>1.486457E7</v>
      </c>
      <c r="K17" s="1">
        <v>1.536519E7</v>
      </c>
      <c r="L17" s="1">
        <v>1.434616E7</v>
      </c>
      <c r="M17" s="1">
        <v>1.440962E7</v>
      </c>
      <c r="N17" s="1">
        <v>1.549486E7</v>
      </c>
      <c r="O17" s="1">
        <v>2.338241E7</v>
      </c>
      <c r="P17" s="1">
        <v>2.002631E7</v>
      </c>
      <c r="Q17" s="1">
        <v>1.480982E7</v>
      </c>
      <c r="R17" s="1">
        <v>1.121254E7</v>
      </c>
      <c r="S17" s="1">
        <v>1.045476E7</v>
      </c>
      <c r="T17" s="1">
        <v>9457970.0</v>
      </c>
      <c r="U17" s="1">
        <v>9477610.0</v>
      </c>
      <c r="V17" s="1">
        <v>9265930.0</v>
      </c>
      <c r="W17" s="1">
        <v>9608480.0</v>
      </c>
      <c r="X17" s="1">
        <v>9530550.0</v>
      </c>
      <c r="Y17" s="1">
        <v>9611240.0</v>
      </c>
      <c r="Z17" s="1">
        <v>1.135563E7</v>
      </c>
      <c r="AA17" s="1">
        <v>1.770333E7</v>
      </c>
      <c r="AB17" s="3">
        <f t="shared" si="3"/>
        <v>14473740.83</v>
      </c>
      <c r="AC17" s="4">
        <f t="shared" si="4"/>
        <v>4151122.369</v>
      </c>
      <c r="AD17" s="4">
        <f t="shared" ref="AD17:BA17" si="33">(D17-$AB17)/$AC17</f>
        <v>1.690756991</v>
      </c>
      <c r="AE17" s="4">
        <f t="shared" si="33"/>
        <v>0.801344521</v>
      </c>
      <c r="AF17" s="4">
        <f t="shared" si="33"/>
        <v>0.8924259121</v>
      </c>
      <c r="AG17" s="4">
        <f t="shared" si="33"/>
        <v>0.6661666221</v>
      </c>
      <c r="AH17" s="4">
        <f t="shared" si="33"/>
        <v>0.556302359</v>
      </c>
      <c r="AI17" s="4">
        <f t="shared" si="33"/>
        <v>0.2471980046</v>
      </c>
      <c r="AJ17" s="4">
        <f t="shared" si="33"/>
        <v>0.09415023984</v>
      </c>
      <c r="AK17" s="4">
        <f t="shared" si="33"/>
        <v>0.2147489492</v>
      </c>
      <c r="AL17" s="4">
        <f t="shared" si="33"/>
        <v>-0.03073405744</v>
      </c>
      <c r="AM17" s="4">
        <f t="shared" si="33"/>
        <v>-0.01544662567</v>
      </c>
      <c r="AN17" s="4">
        <f t="shared" si="33"/>
        <v>0.2459862842</v>
      </c>
      <c r="AO17" s="4">
        <f t="shared" si="33"/>
        <v>2.146086859</v>
      </c>
      <c r="AP17" s="4">
        <f t="shared" si="33"/>
        <v>1.337606718</v>
      </c>
      <c r="AQ17" s="4">
        <f t="shared" si="33"/>
        <v>0.08096103578</v>
      </c>
      <c r="AR17" s="4">
        <f t="shared" si="33"/>
        <v>-0.7856190551</v>
      </c>
      <c r="AS17" s="4">
        <f t="shared" si="33"/>
        <v>-0.9681672752</v>
      </c>
      <c r="AT17" s="4">
        <f t="shared" si="33"/>
        <v>-1.208292695</v>
      </c>
      <c r="AU17" s="4">
        <f t="shared" si="33"/>
        <v>-1.203561444</v>
      </c>
      <c r="AV17" s="4">
        <f t="shared" si="33"/>
        <v>-1.254554882</v>
      </c>
      <c r="AW17" s="4">
        <f t="shared" si="33"/>
        <v>-1.172035031</v>
      </c>
      <c r="AX17" s="4">
        <f t="shared" si="33"/>
        <v>-1.190808267</v>
      </c>
      <c r="AY17" s="4">
        <f t="shared" si="33"/>
        <v>-1.17137015</v>
      </c>
      <c r="AZ17" s="4">
        <f t="shared" si="33"/>
        <v>-0.7511488595</v>
      </c>
      <c r="BA17" s="4">
        <f t="shared" si="33"/>
        <v>0.7780038456</v>
      </c>
      <c r="BB17" s="4">
        <f t="shared" ref="BB17:BY17" si="34">IF(AD17&gt;=1,1,0)
</f>
        <v>1</v>
      </c>
      <c r="BC17" s="4">
        <f t="shared" si="34"/>
        <v>0</v>
      </c>
      <c r="BD17" s="4">
        <f t="shared" si="34"/>
        <v>0</v>
      </c>
      <c r="BE17" s="4">
        <f t="shared" si="34"/>
        <v>0</v>
      </c>
      <c r="BF17" s="4">
        <f t="shared" si="34"/>
        <v>0</v>
      </c>
      <c r="BG17" s="4">
        <f t="shared" si="34"/>
        <v>0</v>
      </c>
      <c r="BH17" s="4">
        <f t="shared" si="34"/>
        <v>0</v>
      </c>
      <c r="BI17" s="4">
        <f t="shared" si="34"/>
        <v>0</v>
      </c>
      <c r="BJ17" s="4">
        <f t="shared" si="34"/>
        <v>0</v>
      </c>
      <c r="BK17" s="4">
        <f t="shared" si="34"/>
        <v>0</v>
      </c>
      <c r="BL17" s="4">
        <f t="shared" si="34"/>
        <v>0</v>
      </c>
      <c r="BM17" s="4">
        <f t="shared" si="34"/>
        <v>1</v>
      </c>
      <c r="BN17" s="4">
        <f t="shared" si="34"/>
        <v>1</v>
      </c>
      <c r="BO17" s="4">
        <f t="shared" si="34"/>
        <v>0</v>
      </c>
      <c r="BP17" s="4">
        <f t="shared" si="34"/>
        <v>0</v>
      </c>
      <c r="BQ17" s="4">
        <f t="shared" si="34"/>
        <v>0</v>
      </c>
      <c r="BR17" s="4">
        <f t="shared" si="34"/>
        <v>0</v>
      </c>
      <c r="BS17" s="4">
        <f t="shared" si="34"/>
        <v>0</v>
      </c>
      <c r="BT17" s="4">
        <f t="shared" si="34"/>
        <v>0</v>
      </c>
      <c r="BU17" s="4">
        <f t="shared" si="34"/>
        <v>0</v>
      </c>
      <c r="BV17" s="4">
        <f t="shared" si="34"/>
        <v>0</v>
      </c>
      <c r="BW17" s="4">
        <f t="shared" si="34"/>
        <v>0</v>
      </c>
      <c r="BX17" s="4">
        <f t="shared" si="34"/>
        <v>0</v>
      </c>
      <c r="BY17" s="4">
        <f t="shared" si="34"/>
        <v>0</v>
      </c>
    </row>
    <row r="18">
      <c r="A18" s="5" t="s">
        <v>85</v>
      </c>
      <c r="B18" s="1" t="s">
        <v>72</v>
      </c>
      <c r="C18" s="1" t="s">
        <v>73</v>
      </c>
      <c r="D18" s="1">
        <v>1.0733352E8</v>
      </c>
      <c r="E18" s="1">
        <v>1.0571147E8</v>
      </c>
      <c r="F18" s="1">
        <v>1.0505366E8</v>
      </c>
      <c r="G18" s="1">
        <v>1.0676375E8</v>
      </c>
      <c r="H18" s="1">
        <v>1.0507671E8</v>
      </c>
      <c r="I18" s="1">
        <v>1.0403582E8</v>
      </c>
      <c r="J18" s="1">
        <v>1.0370263E8</v>
      </c>
      <c r="K18" s="1">
        <v>1.052553E8</v>
      </c>
      <c r="L18" s="1">
        <v>1.0525917E8</v>
      </c>
      <c r="M18" s="1">
        <v>1.0526991E8</v>
      </c>
      <c r="N18" s="1">
        <v>1.047735E8</v>
      </c>
      <c r="O18" s="1">
        <v>1.2817987E8</v>
      </c>
      <c r="P18" s="1">
        <v>1.3766736E8</v>
      </c>
      <c r="Q18" s="1">
        <v>1.2345111E8</v>
      </c>
      <c r="R18" s="1">
        <v>1.0169795E8</v>
      </c>
      <c r="S18" s="1">
        <v>1.2387478E8</v>
      </c>
      <c r="T18" s="1">
        <v>1.4771747E8</v>
      </c>
      <c r="U18" s="1">
        <v>1.4799934E8</v>
      </c>
      <c r="V18" s="1">
        <v>1.225615E8</v>
      </c>
      <c r="W18" s="1">
        <v>1.2225746E8</v>
      </c>
      <c r="X18" s="1">
        <v>1.2234916E8</v>
      </c>
      <c r="Y18" s="1">
        <v>1.4718258E8</v>
      </c>
      <c r="Z18" s="1">
        <v>1.4703303E8</v>
      </c>
      <c r="AA18" s="1">
        <v>1.4758035E8</v>
      </c>
      <c r="AB18" s="3">
        <f t="shared" si="3"/>
        <v>119907808.3</v>
      </c>
      <c r="AC18" s="4">
        <f t="shared" si="4"/>
        <v>17358569.4</v>
      </c>
      <c r="AD18" s="4">
        <f t="shared" ref="AD18:BA18" si="35">(D18-$AB18)/$AC18</f>
        <v>-0.7243850599</v>
      </c>
      <c r="AE18" s="4">
        <f t="shared" si="35"/>
        <v>-0.8178288203</v>
      </c>
      <c r="AF18" s="4">
        <f t="shared" si="35"/>
        <v>-0.8557242243</v>
      </c>
      <c r="AG18" s="4">
        <f t="shared" si="35"/>
        <v>-0.7572086173</v>
      </c>
      <c r="AH18" s="4">
        <f t="shared" si="35"/>
        <v>-0.8543963499</v>
      </c>
      <c r="AI18" s="4">
        <f t="shared" si="35"/>
        <v>-0.9143603927</v>
      </c>
      <c r="AJ18" s="4">
        <f t="shared" si="35"/>
        <v>-0.9335549469</v>
      </c>
      <c r="AK18" s="4">
        <f t="shared" si="35"/>
        <v>-0.8441080596</v>
      </c>
      <c r="AL18" s="4">
        <f t="shared" si="35"/>
        <v>-0.843885115</v>
      </c>
      <c r="AM18" s="4">
        <f t="shared" si="35"/>
        <v>-0.8432664004</v>
      </c>
      <c r="AN18" s="4">
        <f t="shared" si="35"/>
        <v>-0.8718638031</v>
      </c>
      <c r="AO18" s="4">
        <f t="shared" si="35"/>
        <v>0.4765405188</v>
      </c>
      <c r="AP18" s="4">
        <f t="shared" si="35"/>
        <v>1.023099961</v>
      </c>
      <c r="AQ18" s="4">
        <f t="shared" si="35"/>
        <v>0.2041240603</v>
      </c>
      <c r="AR18" s="4">
        <f t="shared" si="35"/>
        <v>-1.049041422</v>
      </c>
      <c r="AS18" s="4">
        <f t="shared" si="35"/>
        <v>0.2285310255</v>
      </c>
      <c r="AT18" s="4">
        <f t="shared" si="35"/>
        <v>1.602071059</v>
      </c>
      <c r="AU18" s="4">
        <f t="shared" si="35"/>
        <v>1.618309149</v>
      </c>
      <c r="AV18" s="4">
        <f t="shared" si="35"/>
        <v>0.1528750213</v>
      </c>
      <c r="AW18" s="4">
        <f t="shared" si="35"/>
        <v>0.135359753</v>
      </c>
      <c r="AX18" s="4">
        <f t="shared" si="35"/>
        <v>0.1406424464</v>
      </c>
      <c r="AY18" s="4">
        <f t="shared" si="35"/>
        <v>1.571256884</v>
      </c>
      <c r="AZ18" s="4">
        <f t="shared" si="35"/>
        <v>1.562641543</v>
      </c>
      <c r="BA18" s="4">
        <f t="shared" si="35"/>
        <v>1.594171791</v>
      </c>
      <c r="BB18" s="4">
        <f t="shared" ref="BB18:BY18" si="36">IF(AD18&gt;=1,1,0)
</f>
        <v>0</v>
      </c>
      <c r="BC18" s="4">
        <f t="shared" si="36"/>
        <v>0</v>
      </c>
      <c r="BD18" s="4">
        <f t="shared" si="36"/>
        <v>0</v>
      </c>
      <c r="BE18" s="4">
        <f t="shared" si="36"/>
        <v>0</v>
      </c>
      <c r="BF18" s="4">
        <f t="shared" si="36"/>
        <v>0</v>
      </c>
      <c r="BG18" s="4">
        <f t="shared" si="36"/>
        <v>0</v>
      </c>
      <c r="BH18" s="4">
        <f t="shared" si="36"/>
        <v>0</v>
      </c>
      <c r="BI18" s="4">
        <f t="shared" si="36"/>
        <v>0</v>
      </c>
      <c r="BJ18" s="4">
        <f t="shared" si="36"/>
        <v>0</v>
      </c>
      <c r="BK18" s="4">
        <f t="shared" si="36"/>
        <v>0</v>
      </c>
      <c r="BL18" s="4">
        <f t="shared" si="36"/>
        <v>0</v>
      </c>
      <c r="BM18" s="4">
        <f t="shared" si="36"/>
        <v>0</v>
      </c>
      <c r="BN18" s="4">
        <f t="shared" si="36"/>
        <v>1</v>
      </c>
      <c r="BO18" s="4">
        <f t="shared" si="36"/>
        <v>0</v>
      </c>
      <c r="BP18" s="4">
        <f t="shared" si="36"/>
        <v>0</v>
      </c>
      <c r="BQ18" s="4">
        <f t="shared" si="36"/>
        <v>0</v>
      </c>
      <c r="BR18" s="4">
        <f t="shared" si="36"/>
        <v>1</v>
      </c>
      <c r="BS18" s="4">
        <f t="shared" si="36"/>
        <v>1</v>
      </c>
      <c r="BT18" s="4">
        <f t="shared" si="36"/>
        <v>0</v>
      </c>
      <c r="BU18" s="4">
        <f t="shared" si="36"/>
        <v>0</v>
      </c>
      <c r="BV18" s="4">
        <f t="shared" si="36"/>
        <v>0</v>
      </c>
      <c r="BW18" s="4">
        <f t="shared" si="36"/>
        <v>1</v>
      </c>
      <c r="BX18" s="4">
        <f t="shared" si="36"/>
        <v>1</v>
      </c>
      <c r="BY18" s="4">
        <f t="shared" si="36"/>
        <v>1</v>
      </c>
    </row>
    <row r="19">
      <c r="A19" s="5" t="s">
        <v>86</v>
      </c>
      <c r="B19" s="1" t="s">
        <v>79</v>
      </c>
      <c r="C19" s="1" t="s">
        <v>79</v>
      </c>
      <c r="D19" s="1">
        <v>3883390.0</v>
      </c>
      <c r="E19" s="1">
        <v>3253880.0</v>
      </c>
      <c r="F19" s="1">
        <v>2603750.0</v>
      </c>
      <c r="G19" s="1">
        <v>2634680.0</v>
      </c>
      <c r="H19" s="1">
        <v>3064010.0</v>
      </c>
      <c r="I19" s="1">
        <v>2536660.0</v>
      </c>
      <c r="J19" s="1">
        <v>2261900.0</v>
      </c>
      <c r="K19" s="1">
        <v>2628960.0</v>
      </c>
      <c r="L19" s="1">
        <v>2197670.0</v>
      </c>
      <c r="M19" s="1">
        <v>2429090.0</v>
      </c>
      <c r="N19" s="1">
        <v>2200390.0</v>
      </c>
      <c r="O19" s="1">
        <v>2878870.0</v>
      </c>
      <c r="P19" s="1">
        <v>2979990.0</v>
      </c>
      <c r="Q19" s="1">
        <v>2743370.0</v>
      </c>
      <c r="R19" s="1">
        <v>2099980.0</v>
      </c>
      <c r="S19" s="1">
        <v>2419040.0</v>
      </c>
      <c r="T19" s="1">
        <v>2167090.0</v>
      </c>
      <c r="U19" s="1">
        <v>1807460.0</v>
      </c>
      <c r="V19" s="1">
        <v>1556530.0</v>
      </c>
      <c r="W19" s="1">
        <v>1843830.0</v>
      </c>
      <c r="X19" s="1">
        <v>2764440.0</v>
      </c>
      <c r="Y19" s="1">
        <v>1861280.0</v>
      </c>
      <c r="Z19" s="1">
        <v>2116040.0</v>
      </c>
      <c r="AA19" s="1">
        <v>2598270.0</v>
      </c>
      <c r="AB19" s="3">
        <f t="shared" si="3"/>
        <v>2480440.417</v>
      </c>
      <c r="AC19" s="4">
        <f t="shared" si="4"/>
        <v>520310.8187</v>
      </c>
      <c r="AD19" s="4">
        <f t="shared" ref="AD19:BA19" si="37">(D19-$AB19)/$AC19</f>
        <v>2.696368273</v>
      </c>
      <c r="AE19" s="4">
        <f t="shared" si="37"/>
        <v>1.486495294</v>
      </c>
      <c r="AF19" s="4">
        <f t="shared" si="37"/>
        <v>0.2369921572</v>
      </c>
      <c r="AG19" s="4">
        <f t="shared" si="37"/>
        <v>0.2964373943</v>
      </c>
      <c r="AH19" s="4">
        <f t="shared" si="37"/>
        <v>1.121578799</v>
      </c>
      <c r="AI19" s="4">
        <f t="shared" si="37"/>
        <v>0.1080499988</v>
      </c>
      <c r="AJ19" s="4">
        <f t="shared" si="37"/>
        <v>-0.4200189749</v>
      </c>
      <c r="AK19" s="4">
        <f t="shared" si="37"/>
        <v>0.2854439654</v>
      </c>
      <c r="AL19" s="4">
        <f t="shared" si="37"/>
        <v>-0.5434644188</v>
      </c>
      <c r="AM19" s="4">
        <f t="shared" si="37"/>
        <v>-0.0986918104</v>
      </c>
      <c r="AN19" s="4">
        <f t="shared" si="37"/>
        <v>-0.5382367743</v>
      </c>
      <c r="AO19" s="4">
        <f t="shared" si="37"/>
        <v>0.765753025</v>
      </c>
      <c r="AP19" s="4">
        <f t="shared" si="37"/>
        <v>0.9600983977</v>
      </c>
      <c r="AQ19" s="4">
        <f t="shared" si="37"/>
        <v>0.5053317631</v>
      </c>
      <c r="AR19" s="4">
        <f t="shared" si="37"/>
        <v>-0.7312175781</v>
      </c>
      <c r="AS19" s="4">
        <f t="shared" si="37"/>
        <v>-0.1180071881</v>
      </c>
      <c r="AT19" s="4">
        <f t="shared" si="37"/>
        <v>-0.6022369811</v>
      </c>
      <c r="AU19" s="4">
        <f t="shared" si="37"/>
        <v>-1.293419995</v>
      </c>
      <c r="AV19" s="4">
        <f t="shared" si="37"/>
        <v>-1.775689422</v>
      </c>
      <c r="AW19" s="4">
        <f t="shared" si="37"/>
        <v>-1.223519469</v>
      </c>
      <c r="AX19" s="4">
        <f t="shared" si="37"/>
        <v>0.5458267888</v>
      </c>
      <c r="AY19" s="4">
        <f t="shared" si="37"/>
        <v>-1.189981823</v>
      </c>
      <c r="AZ19" s="4">
        <f t="shared" si="37"/>
        <v>-0.7003514123</v>
      </c>
      <c r="BA19" s="4">
        <f t="shared" si="37"/>
        <v>0.226459991</v>
      </c>
      <c r="BB19" s="4">
        <f t="shared" ref="BB19:BY19" si="38">IF(AD19&gt;=1,1,0)
</f>
        <v>1</v>
      </c>
      <c r="BC19" s="4">
        <f t="shared" si="38"/>
        <v>1</v>
      </c>
      <c r="BD19" s="4">
        <f t="shared" si="38"/>
        <v>0</v>
      </c>
      <c r="BE19" s="4">
        <f t="shared" si="38"/>
        <v>0</v>
      </c>
      <c r="BF19" s="4">
        <f t="shared" si="38"/>
        <v>1</v>
      </c>
      <c r="BG19" s="4">
        <f t="shared" si="38"/>
        <v>0</v>
      </c>
      <c r="BH19" s="4">
        <f t="shared" si="38"/>
        <v>0</v>
      </c>
      <c r="BI19" s="4">
        <f t="shared" si="38"/>
        <v>0</v>
      </c>
      <c r="BJ19" s="4">
        <f t="shared" si="38"/>
        <v>0</v>
      </c>
      <c r="BK19" s="4">
        <f t="shared" si="38"/>
        <v>0</v>
      </c>
      <c r="BL19" s="4">
        <f t="shared" si="38"/>
        <v>0</v>
      </c>
      <c r="BM19" s="4">
        <f t="shared" si="38"/>
        <v>0</v>
      </c>
      <c r="BN19" s="4">
        <f t="shared" si="38"/>
        <v>0</v>
      </c>
      <c r="BO19" s="4">
        <f t="shared" si="38"/>
        <v>0</v>
      </c>
      <c r="BP19" s="4">
        <f t="shared" si="38"/>
        <v>0</v>
      </c>
      <c r="BQ19" s="4">
        <f t="shared" si="38"/>
        <v>0</v>
      </c>
      <c r="BR19" s="4">
        <f t="shared" si="38"/>
        <v>0</v>
      </c>
      <c r="BS19" s="4">
        <f t="shared" si="38"/>
        <v>0</v>
      </c>
      <c r="BT19" s="4">
        <f t="shared" si="38"/>
        <v>0</v>
      </c>
      <c r="BU19" s="4">
        <f t="shared" si="38"/>
        <v>0</v>
      </c>
      <c r="BV19" s="4">
        <f t="shared" si="38"/>
        <v>0</v>
      </c>
      <c r="BW19" s="4">
        <f t="shared" si="38"/>
        <v>0</v>
      </c>
      <c r="BX19" s="4">
        <f t="shared" si="38"/>
        <v>0</v>
      </c>
      <c r="BY19" s="4">
        <f t="shared" si="38"/>
        <v>0</v>
      </c>
    </row>
    <row r="20">
      <c r="A20" s="5" t="s">
        <v>87</v>
      </c>
      <c r="B20" s="1" t="s">
        <v>79</v>
      </c>
      <c r="C20" s="1" t="s">
        <v>79</v>
      </c>
      <c r="D20" s="1">
        <v>564940.0</v>
      </c>
      <c r="E20" s="1">
        <v>539670.0</v>
      </c>
      <c r="F20" s="1">
        <v>468580.0</v>
      </c>
      <c r="G20" s="1">
        <v>527010.0</v>
      </c>
      <c r="H20" s="1">
        <v>453270.0</v>
      </c>
      <c r="I20" s="1">
        <v>472710.0</v>
      </c>
      <c r="J20" s="1">
        <v>431840.0</v>
      </c>
      <c r="K20" s="1">
        <v>591180.0</v>
      </c>
      <c r="L20" s="1">
        <v>548380.0</v>
      </c>
      <c r="M20" s="1">
        <v>595900.0</v>
      </c>
      <c r="N20" s="1">
        <v>467990.0</v>
      </c>
      <c r="O20" s="1">
        <v>534120.0</v>
      </c>
      <c r="P20" s="1">
        <v>533310.0</v>
      </c>
      <c r="Q20" s="1">
        <v>385070.0</v>
      </c>
      <c r="R20" s="1">
        <v>366140.0</v>
      </c>
      <c r="S20" s="1">
        <v>382640.0</v>
      </c>
      <c r="T20" s="1">
        <v>383270.0</v>
      </c>
      <c r="U20" s="1">
        <v>453180.0</v>
      </c>
      <c r="V20" s="1">
        <v>476220.0</v>
      </c>
      <c r="W20" s="1">
        <v>629850.0</v>
      </c>
      <c r="X20" s="1">
        <v>418440.0</v>
      </c>
      <c r="Y20" s="1">
        <v>507280.0</v>
      </c>
      <c r="Z20" s="1">
        <v>1018150.0</v>
      </c>
      <c r="AA20" s="1">
        <v>632020.0</v>
      </c>
      <c r="AB20" s="3">
        <f t="shared" si="3"/>
        <v>515881.6667</v>
      </c>
      <c r="AC20" s="4">
        <f t="shared" si="4"/>
        <v>132359.3689</v>
      </c>
      <c r="AD20" s="4">
        <f t="shared" ref="AD20:BA20" si="39">(D20-$AB20)/$AC20</f>
        <v>0.3706449627</v>
      </c>
      <c r="AE20" s="4">
        <f t="shared" si="39"/>
        <v>0.1797253458</v>
      </c>
      <c r="AF20" s="4">
        <f t="shared" si="39"/>
        <v>-0.3573730146</v>
      </c>
      <c r="AG20" s="4">
        <f t="shared" si="39"/>
        <v>0.08407665758</v>
      </c>
      <c r="AH20" s="4">
        <f t="shared" si="39"/>
        <v>-0.4730429527</v>
      </c>
      <c r="AI20" s="4">
        <f t="shared" si="39"/>
        <v>-0.3261700855</v>
      </c>
      <c r="AJ20" s="4">
        <f t="shared" si="39"/>
        <v>-0.6349506452</v>
      </c>
      <c r="AK20" s="4">
        <f t="shared" si="39"/>
        <v>0.5688931126</v>
      </c>
      <c r="AL20" s="4">
        <f t="shared" si="39"/>
        <v>0.2455310388</v>
      </c>
      <c r="AM20" s="4">
        <f t="shared" si="39"/>
        <v>0.6045536029</v>
      </c>
      <c r="AN20" s="4">
        <f t="shared" si="39"/>
        <v>-0.3618305759</v>
      </c>
      <c r="AO20" s="4">
        <f t="shared" si="39"/>
        <v>0.1377940488</v>
      </c>
      <c r="AP20" s="4">
        <f t="shared" si="39"/>
        <v>0.131674346</v>
      </c>
      <c r="AQ20" s="4">
        <f t="shared" si="39"/>
        <v>-0.9883068179</v>
      </c>
      <c r="AR20" s="4">
        <f t="shared" si="39"/>
        <v>-1.131326539</v>
      </c>
      <c r="AS20" s="4">
        <f t="shared" si="39"/>
        <v>-1.006665926</v>
      </c>
      <c r="AT20" s="4">
        <f t="shared" si="39"/>
        <v>-1.001906157</v>
      </c>
      <c r="AU20" s="4">
        <f t="shared" si="39"/>
        <v>-0.4737229197</v>
      </c>
      <c r="AV20" s="4">
        <f t="shared" si="39"/>
        <v>-0.2996513734</v>
      </c>
      <c r="AW20" s="4">
        <f t="shared" si="39"/>
        <v>0.8610522573</v>
      </c>
      <c r="AX20" s="4">
        <f t="shared" si="39"/>
        <v>-0.736190173</v>
      </c>
      <c r="AY20" s="4">
        <f t="shared" si="39"/>
        <v>-0.06498721428</v>
      </c>
      <c r="AZ20" s="4">
        <f t="shared" si="39"/>
        <v>3.794732006</v>
      </c>
      <c r="BA20" s="4">
        <f t="shared" si="39"/>
        <v>0.8774470166</v>
      </c>
      <c r="BB20" s="4">
        <f t="shared" ref="BB20:BY20" si="40">IF(AD20&gt;=1,1,0)
</f>
        <v>0</v>
      </c>
      <c r="BC20" s="4">
        <f t="shared" si="40"/>
        <v>0</v>
      </c>
      <c r="BD20" s="4">
        <f t="shared" si="40"/>
        <v>0</v>
      </c>
      <c r="BE20" s="4">
        <f t="shared" si="40"/>
        <v>0</v>
      </c>
      <c r="BF20" s="4">
        <f t="shared" si="40"/>
        <v>0</v>
      </c>
      <c r="BG20" s="4">
        <f t="shared" si="40"/>
        <v>0</v>
      </c>
      <c r="BH20" s="4">
        <f t="shared" si="40"/>
        <v>0</v>
      </c>
      <c r="BI20" s="4">
        <f t="shared" si="40"/>
        <v>0</v>
      </c>
      <c r="BJ20" s="4">
        <f t="shared" si="40"/>
        <v>0</v>
      </c>
      <c r="BK20" s="4">
        <f t="shared" si="40"/>
        <v>0</v>
      </c>
      <c r="BL20" s="4">
        <f t="shared" si="40"/>
        <v>0</v>
      </c>
      <c r="BM20" s="4">
        <f t="shared" si="40"/>
        <v>0</v>
      </c>
      <c r="BN20" s="4">
        <f t="shared" si="40"/>
        <v>0</v>
      </c>
      <c r="BO20" s="4">
        <f t="shared" si="40"/>
        <v>0</v>
      </c>
      <c r="BP20" s="4">
        <f t="shared" si="40"/>
        <v>0</v>
      </c>
      <c r="BQ20" s="4">
        <f t="shared" si="40"/>
        <v>0</v>
      </c>
      <c r="BR20" s="4">
        <f t="shared" si="40"/>
        <v>0</v>
      </c>
      <c r="BS20" s="4">
        <f t="shared" si="40"/>
        <v>0</v>
      </c>
      <c r="BT20" s="4">
        <f t="shared" si="40"/>
        <v>0</v>
      </c>
      <c r="BU20" s="4">
        <f t="shared" si="40"/>
        <v>0</v>
      </c>
      <c r="BV20" s="4">
        <f t="shared" si="40"/>
        <v>0</v>
      </c>
      <c r="BW20" s="4">
        <f t="shared" si="40"/>
        <v>0</v>
      </c>
      <c r="BX20" s="4">
        <f t="shared" si="40"/>
        <v>1</v>
      </c>
      <c r="BY20" s="4">
        <f t="shared" si="40"/>
        <v>0</v>
      </c>
    </row>
    <row r="21">
      <c r="A21" s="5" t="s">
        <v>88</v>
      </c>
      <c r="B21" s="1" t="s">
        <v>59</v>
      </c>
      <c r="C21" s="1" t="s">
        <v>89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18170.0</v>
      </c>
      <c r="S21" s="1">
        <v>6630.0</v>
      </c>
      <c r="T21" s="1">
        <v>4640.0</v>
      </c>
      <c r="U21" s="1">
        <v>3100.0</v>
      </c>
      <c r="V21" s="1">
        <v>4850.0</v>
      </c>
      <c r="W21" s="1">
        <v>2130.0</v>
      </c>
      <c r="X21" s="1">
        <v>1730.0</v>
      </c>
      <c r="Y21" s="1">
        <v>145610.0</v>
      </c>
      <c r="Z21" s="1">
        <v>67050.0</v>
      </c>
      <c r="AA21" s="1">
        <v>33050.0</v>
      </c>
      <c r="AB21" s="3">
        <f t="shared" si="3"/>
        <v>11956.66667</v>
      </c>
      <c r="AC21" s="4">
        <f t="shared" si="4"/>
        <v>32164.98889</v>
      </c>
      <c r="AD21" s="4">
        <f t="shared" ref="AD21:BA21" si="41">(D21-$AB21)/$AC21</f>
        <v>-0.3717292336</v>
      </c>
      <c r="AE21" s="4">
        <f t="shared" si="41"/>
        <v>-0.3717292336</v>
      </c>
      <c r="AF21" s="4">
        <f t="shared" si="41"/>
        <v>-0.3717292336</v>
      </c>
      <c r="AG21" s="4">
        <f t="shared" si="41"/>
        <v>-0.3717292336</v>
      </c>
      <c r="AH21" s="4">
        <f t="shared" si="41"/>
        <v>-0.3717292336</v>
      </c>
      <c r="AI21" s="4">
        <f t="shared" si="41"/>
        <v>-0.3717292336</v>
      </c>
      <c r="AJ21" s="4">
        <f t="shared" si="41"/>
        <v>-0.3717292336</v>
      </c>
      <c r="AK21" s="4">
        <f t="shared" si="41"/>
        <v>-0.3717292336</v>
      </c>
      <c r="AL21" s="4">
        <f t="shared" si="41"/>
        <v>-0.3717292336</v>
      </c>
      <c r="AM21" s="4">
        <f t="shared" si="41"/>
        <v>-0.3717292336</v>
      </c>
      <c r="AN21" s="4">
        <f t="shared" si="41"/>
        <v>-0.3717292336</v>
      </c>
      <c r="AO21" s="4">
        <f t="shared" si="41"/>
        <v>-0.3717292336</v>
      </c>
      <c r="AP21" s="4">
        <f t="shared" si="41"/>
        <v>-0.3717292336</v>
      </c>
      <c r="AQ21" s="4">
        <f t="shared" si="41"/>
        <v>-0.3717292336</v>
      </c>
      <c r="AR21" s="4">
        <f t="shared" si="41"/>
        <v>0.1931706973</v>
      </c>
      <c r="AS21" s="4">
        <f t="shared" si="41"/>
        <v>-0.1656044927</v>
      </c>
      <c r="AT21" s="4">
        <f t="shared" si="41"/>
        <v>-0.2274730046</v>
      </c>
      <c r="AU21" s="4">
        <f t="shared" si="41"/>
        <v>-0.2753511496</v>
      </c>
      <c r="AV21" s="4">
        <f t="shared" si="41"/>
        <v>-0.2209441667</v>
      </c>
      <c r="AW21" s="4">
        <f t="shared" si="41"/>
        <v>-0.305508163</v>
      </c>
      <c r="AX21" s="4">
        <f t="shared" si="41"/>
        <v>-0.3179440448</v>
      </c>
      <c r="AY21" s="4">
        <f t="shared" si="41"/>
        <v>4.15524264</v>
      </c>
      <c r="AZ21" s="4">
        <f t="shared" si="41"/>
        <v>1.712835454</v>
      </c>
      <c r="BA21" s="4">
        <f t="shared" si="41"/>
        <v>0.6557855004</v>
      </c>
      <c r="BB21" s="4">
        <f t="shared" ref="BB21:BY21" si="42">IF(AD21&gt;=1,1,0)
</f>
        <v>0</v>
      </c>
      <c r="BC21" s="4">
        <f t="shared" si="42"/>
        <v>0</v>
      </c>
      <c r="BD21" s="4">
        <f t="shared" si="42"/>
        <v>0</v>
      </c>
      <c r="BE21" s="4">
        <f t="shared" si="42"/>
        <v>0</v>
      </c>
      <c r="BF21" s="4">
        <f t="shared" si="42"/>
        <v>0</v>
      </c>
      <c r="BG21" s="4">
        <f t="shared" si="42"/>
        <v>0</v>
      </c>
      <c r="BH21" s="4">
        <f t="shared" si="42"/>
        <v>0</v>
      </c>
      <c r="BI21" s="4">
        <f t="shared" si="42"/>
        <v>0</v>
      </c>
      <c r="BJ21" s="4">
        <f t="shared" si="42"/>
        <v>0</v>
      </c>
      <c r="BK21" s="4">
        <f t="shared" si="42"/>
        <v>0</v>
      </c>
      <c r="BL21" s="4">
        <f t="shared" si="42"/>
        <v>0</v>
      </c>
      <c r="BM21" s="4">
        <f t="shared" si="42"/>
        <v>0</v>
      </c>
      <c r="BN21" s="4">
        <f t="shared" si="42"/>
        <v>0</v>
      </c>
      <c r="BO21" s="4">
        <f t="shared" si="42"/>
        <v>0</v>
      </c>
      <c r="BP21" s="4">
        <f t="shared" si="42"/>
        <v>0</v>
      </c>
      <c r="BQ21" s="4">
        <f t="shared" si="42"/>
        <v>0</v>
      </c>
      <c r="BR21" s="4">
        <f t="shared" si="42"/>
        <v>0</v>
      </c>
      <c r="BS21" s="4">
        <f t="shared" si="42"/>
        <v>0</v>
      </c>
      <c r="BT21" s="4">
        <f t="shared" si="42"/>
        <v>0</v>
      </c>
      <c r="BU21" s="4">
        <f t="shared" si="42"/>
        <v>0</v>
      </c>
      <c r="BV21" s="4">
        <f t="shared" si="42"/>
        <v>0</v>
      </c>
      <c r="BW21" s="4">
        <f t="shared" si="42"/>
        <v>1</v>
      </c>
      <c r="BX21" s="4">
        <f t="shared" si="42"/>
        <v>1</v>
      </c>
      <c r="BY21" s="4">
        <f t="shared" si="42"/>
        <v>0</v>
      </c>
    </row>
    <row r="22">
      <c r="A22" s="5" t="s">
        <v>90</v>
      </c>
      <c r="B22" s="1" t="s">
        <v>75</v>
      </c>
      <c r="C22" s="1" t="s">
        <v>91</v>
      </c>
      <c r="D22" s="1">
        <v>5983560.0</v>
      </c>
      <c r="E22" s="1">
        <v>4724340.0</v>
      </c>
      <c r="F22" s="1">
        <v>4299070.0</v>
      </c>
      <c r="G22" s="1">
        <v>5509300.0</v>
      </c>
      <c r="H22" s="1">
        <v>4842690.0</v>
      </c>
      <c r="I22" s="1">
        <v>5869350.0</v>
      </c>
      <c r="J22" s="1">
        <v>6192150.0</v>
      </c>
      <c r="K22" s="1">
        <v>6193770.0</v>
      </c>
      <c r="L22" s="1">
        <v>5781360.0</v>
      </c>
      <c r="M22" s="1">
        <v>8444970.0</v>
      </c>
      <c r="N22" s="1">
        <v>8209070.0</v>
      </c>
      <c r="O22" s="1">
        <v>8927170.0</v>
      </c>
      <c r="P22" s="1">
        <v>6730070.0</v>
      </c>
      <c r="Q22" s="1">
        <v>5015280.0</v>
      </c>
      <c r="R22" s="1">
        <v>4376050.0</v>
      </c>
      <c r="S22" s="1">
        <v>5300320.0</v>
      </c>
      <c r="T22" s="1">
        <v>5526060.0</v>
      </c>
      <c r="U22" s="1">
        <v>5798090.0</v>
      </c>
      <c r="V22" s="1">
        <v>5050570.0</v>
      </c>
      <c r="W22" s="1">
        <v>5003330.0</v>
      </c>
      <c r="X22" s="1">
        <v>2.621477E7</v>
      </c>
      <c r="Y22" s="1">
        <v>6937990.0</v>
      </c>
      <c r="Z22" s="1">
        <v>5630270.0</v>
      </c>
      <c r="AA22" s="1">
        <v>8427660.0</v>
      </c>
      <c r="AB22" s="3">
        <f t="shared" si="3"/>
        <v>6874469.167</v>
      </c>
      <c r="AC22" s="4">
        <f t="shared" si="4"/>
        <v>4322088.355</v>
      </c>
      <c r="AD22" s="4">
        <f t="shared" ref="AD22:BA22" si="43">(D22-$AB22)/$AC22</f>
        <v>-0.2061293277</v>
      </c>
      <c r="AE22" s="4">
        <f t="shared" si="43"/>
        <v>-0.497474598</v>
      </c>
      <c r="AF22" s="4">
        <f t="shared" si="43"/>
        <v>-0.5958691622</v>
      </c>
      <c r="AG22" s="4">
        <f t="shared" si="43"/>
        <v>-0.3158586902</v>
      </c>
      <c r="AH22" s="4">
        <f t="shared" si="43"/>
        <v>-0.4700920018</v>
      </c>
      <c r="AI22" s="4">
        <f t="shared" si="43"/>
        <v>-0.2325540536</v>
      </c>
      <c r="AJ22" s="4">
        <f t="shared" si="43"/>
        <v>-0.1578679357</v>
      </c>
      <c r="AK22" s="4">
        <f t="shared" si="43"/>
        <v>-0.1574931169</v>
      </c>
      <c r="AL22" s="4">
        <f t="shared" si="43"/>
        <v>-0.2529122676</v>
      </c>
      <c r="AM22" s="4">
        <f t="shared" si="43"/>
        <v>0.3633662027</v>
      </c>
      <c r="AN22" s="4">
        <f t="shared" si="43"/>
        <v>0.3087861061</v>
      </c>
      <c r="AO22" s="4">
        <f t="shared" si="43"/>
        <v>0.4749326402</v>
      </c>
      <c r="AP22" s="4">
        <f t="shared" si="43"/>
        <v>-0.03340958232</v>
      </c>
      <c r="AQ22" s="4">
        <f t="shared" si="43"/>
        <v>-0.4301599167</v>
      </c>
      <c r="AR22" s="4">
        <f t="shared" si="43"/>
        <v>-0.5780583278</v>
      </c>
      <c r="AS22" s="4">
        <f t="shared" si="43"/>
        <v>-0.3642103163</v>
      </c>
      <c r="AT22" s="4">
        <f t="shared" si="43"/>
        <v>-0.3119809351</v>
      </c>
      <c r="AU22" s="4">
        <f t="shared" si="43"/>
        <v>-0.2490414537</v>
      </c>
      <c r="AV22" s="4">
        <f t="shared" si="43"/>
        <v>-0.4219948823</v>
      </c>
      <c r="AW22" s="4">
        <f t="shared" si="43"/>
        <v>-0.4329247838</v>
      </c>
      <c r="AX22" s="4">
        <f t="shared" si="43"/>
        <v>4.474758322</v>
      </c>
      <c r="AY22" s="4">
        <f t="shared" si="43"/>
        <v>0.01469679195</v>
      </c>
      <c r="AZ22" s="4">
        <f t="shared" si="43"/>
        <v>-0.2878699056</v>
      </c>
      <c r="BA22" s="4">
        <f t="shared" si="43"/>
        <v>0.3593611944</v>
      </c>
      <c r="BB22" s="4">
        <f t="shared" ref="BB22:BY22" si="44">IF(AD22&gt;=1,1,0)
</f>
        <v>0</v>
      </c>
      <c r="BC22" s="4">
        <f t="shared" si="44"/>
        <v>0</v>
      </c>
      <c r="BD22" s="4">
        <f t="shared" si="44"/>
        <v>0</v>
      </c>
      <c r="BE22" s="4">
        <f t="shared" si="44"/>
        <v>0</v>
      </c>
      <c r="BF22" s="4">
        <f t="shared" si="44"/>
        <v>0</v>
      </c>
      <c r="BG22" s="4">
        <f t="shared" si="44"/>
        <v>0</v>
      </c>
      <c r="BH22" s="4">
        <f t="shared" si="44"/>
        <v>0</v>
      </c>
      <c r="BI22" s="4">
        <f t="shared" si="44"/>
        <v>0</v>
      </c>
      <c r="BJ22" s="4">
        <f t="shared" si="44"/>
        <v>0</v>
      </c>
      <c r="BK22" s="4">
        <f t="shared" si="44"/>
        <v>0</v>
      </c>
      <c r="BL22" s="4">
        <f t="shared" si="44"/>
        <v>0</v>
      </c>
      <c r="BM22" s="4">
        <f t="shared" si="44"/>
        <v>0</v>
      </c>
      <c r="BN22" s="4">
        <f t="shared" si="44"/>
        <v>0</v>
      </c>
      <c r="BO22" s="4">
        <f t="shared" si="44"/>
        <v>0</v>
      </c>
      <c r="BP22" s="4">
        <f t="shared" si="44"/>
        <v>0</v>
      </c>
      <c r="BQ22" s="4">
        <f t="shared" si="44"/>
        <v>0</v>
      </c>
      <c r="BR22" s="4">
        <f t="shared" si="44"/>
        <v>0</v>
      </c>
      <c r="BS22" s="4">
        <f t="shared" si="44"/>
        <v>0</v>
      </c>
      <c r="BT22" s="4">
        <f t="shared" si="44"/>
        <v>0</v>
      </c>
      <c r="BU22" s="4">
        <f t="shared" si="44"/>
        <v>0</v>
      </c>
      <c r="BV22" s="4">
        <f t="shared" si="44"/>
        <v>1</v>
      </c>
      <c r="BW22" s="4">
        <f t="shared" si="44"/>
        <v>0</v>
      </c>
      <c r="BX22" s="4">
        <f t="shared" si="44"/>
        <v>0</v>
      </c>
      <c r="BY22" s="4">
        <f t="shared" si="44"/>
        <v>0</v>
      </c>
    </row>
    <row r="23">
      <c r="A23" s="5" t="s">
        <v>92</v>
      </c>
      <c r="B23" s="1" t="s">
        <v>72</v>
      </c>
      <c r="C23" s="1" t="s">
        <v>93</v>
      </c>
      <c r="D23" s="1">
        <v>1.8652181E8</v>
      </c>
      <c r="E23" s="1">
        <v>1.5763357E8</v>
      </c>
      <c r="F23" s="1">
        <v>1.550642E8</v>
      </c>
      <c r="G23" s="1">
        <v>1.6085895E8</v>
      </c>
      <c r="H23" s="1">
        <v>1.5570083E8</v>
      </c>
      <c r="I23" s="1">
        <v>1.6669298E8</v>
      </c>
      <c r="J23" s="1">
        <v>1.7624278E8</v>
      </c>
      <c r="K23" s="1">
        <v>2.3570626E8</v>
      </c>
      <c r="L23" s="1">
        <v>1.6400988E8</v>
      </c>
      <c r="M23" s="1">
        <v>1.6425329E8</v>
      </c>
      <c r="N23" s="1">
        <v>1.9438906E8</v>
      </c>
      <c r="O23" s="1">
        <v>1.9208875E8</v>
      </c>
      <c r="P23" s="1">
        <v>2.2418127E8</v>
      </c>
      <c r="Q23" s="1">
        <v>1.5979319E8</v>
      </c>
      <c r="R23" s="1">
        <v>1.5421402E8</v>
      </c>
      <c r="S23" s="1">
        <v>2.1823333E8</v>
      </c>
      <c r="T23" s="1">
        <v>2.1625538E8</v>
      </c>
      <c r="U23" s="1">
        <v>2.2076287E8</v>
      </c>
      <c r="V23" s="1">
        <v>1.954336E8</v>
      </c>
      <c r="W23" s="1">
        <v>2.2893343E8</v>
      </c>
      <c r="X23" s="1">
        <v>1.9942284E8</v>
      </c>
      <c r="Y23" s="1">
        <v>2.4544681E8</v>
      </c>
      <c r="Z23" s="1">
        <v>2.6258936E8</v>
      </c>
      <c r="AA23" s="1">
        <v>2.0352834E8</v>
      </c>
      <c r="AB23" s="3">
        <f t="shared" si="3"/>
        <v>193248200</v>
      </c>
      <c r="AC23" s="4">
        <f t="shared" si="4"/>
        <v>32431283.71</v>
      </c>
      <c r="AD23" s="4">
        <f t="shared" ref="AD23:BA23" si="45">(D23-$AB23)/$AC23</f>
        <v>-0.207404371</v>
      </c>
      <c r="AE23" s="4">
        <f t="shared" si="45"/>
        <v>-1.098156654</v>
      </c>
      <c r="AF23" s="4">
        <f t="shared" si="45"/>
        <v>-1.177381702</v>
      </c>
      <c r="AG23" s="4">
        <f t="shared" si="45"/>
        <v>-0.9987039147</v>
      </c>
      <c r="AH23" s="4">
        <f t="shared" si="45"/>
        <v>-1.157751581</v>
      </c>
      <c r="AI23" s="4">
        <f t="shared" si="45"/>
        <v>-0.8188149516</v>
      </c>
      <c r="AJ23" s="4">
        <f t="shared" si="45"/>
        <v>-0.5243523553</v>
      </c>
      <c r="AK23" s="4">
        <f t="shared" si="45"/>
        <v>1.309169886</v>
      </c>
      <c r="AL23" s="4">
        <f t="shared" si="45"/>
        <v>-0.9015467985</v>
      </c>
      <c r="AM23" s="4">
        <f t="shared" si="45"/>
        <v>-0.894041391</v>
      </c>
      <c r="AN23" s="4">
        <f t="shared" si="45"/>
        <v>0.03517776263</v>
      </c>
      <c r="AO23" s="4">
        <f t="shared" si="45"/>
        <v>-0.0357509746</v>
      </c>
      <c r="AP23" s="4">
        <f t="shared" si="45"/>
        <v>0.953803441</v>
      </c>
      <c r="AQ23" s="4">
        <f t="shared" si="45"/>
        <v>-1.031566012</v>
      </c>
      <c r="AR23" s="4">
        <f t="shared" si="45"/>
        <v>-1.203596513</v>
      </c>
      <c r="AS23" s="4">
        <f t="shared" si="45"/>
        <v>0.7704021285</v>
      </c>
      <c r="AT23" s="4">
        <f t="shared" si="45"/>
        <v>0.7094131767</v>
      </c>
      <c r="AU23" s="4">
        <f t="shared" si="45"/>
        <v>0.8483990411</v>
      </c>
      <c r="AV23" s="4">
        <f t="shared" si="45"/>
        <v>0.06738555339</v>
      </c>
      <c r="AW23" s="4">
        <f t="shared" si="45"/>
        <v>1.100333564</v>
      </c>
      <c r="AX23" s="4">
        <f t="shared" si="45"/>
        <v>0.1903914768</v>
      </c>
      <c r="AY23" s="4">
        <f t="shared" si="45"/>
        <v>1.609514149</v>
      </c>
      <c r="AZ23" s="4">
        <f t="shared" si="45"/>
        <v>2.138094829</v>
      </c>
      <c r="BA23" s="4">
        <f t="shared" si="45"/>
        <v>0.3169822105</v>
      </c>
      <c r="BB23" s="4">
        <f t="shared" ref="BB23:BY23" si="46">IF(AD23&gt;=1,1,0)
</f>
        <v>0</v>
      </c>
      <c r="BC23" s="4">
        <f t="shared" si="46"/>
        <v>0</v>
      </c>
      <c r="BD23" s="4">
        <f t="shared" si="46"/>
        <v>0</v>
      </c>
      <c r="BE23" s="4">
        <f t="shared" si="46"/>
        <v>0</v>
      </c>
      <c r="BF23" s="4">
        <f t="shared" si="46"/>
        <v>0</v>
      </c>
      <c r="BG23" s="4">
        <f t="shared" si="46"/>
        <v>0</v>
      </c>
      <c r="BH23" s="4">
        <f t="shared" si="46"/>
        <v>0</v>
      </c>
      <c r="BI23" s="4">
        <f t="shared" si="46"/>
        <v>1</v>
      </c>
      <c r="BJ23" s="4">
        <f t="shared" si="46"/>
        <v>0</v>
      </c>
      <c r="BK23" s="4">
        <f t="shared" si="46"/>
        <v>0</v>
      </c>
      <c r="BL23" s="4">
        <f t="shared" si="46"/>
        <v>0</v>
      </c>
      <c r="BM23" s="4">
        <f t="shared" si="46"/>
        <v>0</v>
      </c>
      <c r="BN23" s="4">
        <f t="shared" si="46"/>
        <v>0</v>
      </c>
      <c r="BO23" s="4">
        <f t="shared" si="46"/>
        <v>0</v>
      </c>
      <c r="BP23" s="4">
        <f t="shared" si="46"/>
        <v>0</v>
      </c>
      <c r="BQ23" s="4">
        <f t="shared" si="46"/>
        <v>0</v>
      </c>
      <c r="BR23" s="4">
        <f t="shared" si="46"/>
        <v>0</v>
      </c>
      <c r="BS23" s="4">
        <f t="shared" si="46"/>
        <v>0</v>
      </c>
      <c r="BT23" s="4">
        <f t="shared" si="46"/>
        <v>0</v>
      </c>
      <c r="BU23" s="4">
        <f t="shared" si="46"/>
        <v>1</v>
      </c>
      <c r="BV23" s="4">
        <f t="shared" si="46"/>
        <v>0</v>
      </c>
      <c r="BW23" s="4">
        <f t="shared" si="46"/>
        <v>1</v>
      </c>
      <c r="BX23" s="4">
        <f t="shared" si="46"/>
        <v>1</v>
      </c>
      <c r="BY23" s="4">
        <f t="shared" si="46"/>
        <v>0</v>
      </c>
    </row>
    <row r="24">
      <c r="A24" s="1" t="s">
        <v>94</v>
      </c>
      <c r="B24" s="1" t="s">
        <v>79</v>
      </c>
      <c r="C24" s="1" t="s">
        <v>79</v>
      </c>
      <c r="D24" s="1">
        <v>417550.0</v>
      </c>
      <c r="E24" s="1">
        <v>342400.0</v>
      </c>
      <c r="F24" s="1">
        <v>290560.0</v>
      </c>
      <c r="G24" s="1">
        <v>300520.0</v>
      </c>
      <c r="H24" s="1">
        <v>308950.0</v>
      </c>
      <c r="I24" s="1">
        <v>295980.0</v>
      </c>
      <c r="J24" s="1">
        <v>316450.0</v>
      </c>
      <c r="K24" s="1">
        <v>345450.0</v>
      </c>
      <c r="L24" s="1">
        <v>315510.0</v>
      </c>
      <c r="M24" s="1">
        <v>338970.0</v>
      </c>
      <c r="N24" s="1">
        <v>326210.0</v>
      </c>
      <c r="O24" s="1">
        <v>455170.0</v>
      </c>
      <c r="P24" s="1">
        <v>408470.0</v>
      </c>
      <c r="Q24" s="1">
        <v>270610.0</v>
      </c>
      <c r="R24" s="1">
        <v>224470.0</v>
      </c>
      <c r="S24" s="1">
        <v>269530.0</v>
      </c>
      <c r="T24" s="1">
        <v>255740.0</v>
      </c>
      <c r="U24" s="1">
        <v>251140.0</v>
      </c>
      <c r="V24" s="1">
        <v>213530.0</v>
      </c>
      <c r="W24" s="1">
        <v>260360.0</v>
      </c>
      <c r="X24" s="1">
        <v>268620.0</v>
      </c>
      <c r="Y24" s="1">
        <v>220930.0</v>
      </c>
      <c r="Z24" s="1">
        <v>246440.0</v>
      </c>
      <c r="AA24" s="1">
        <v>318190.0</v>
      </c>
      <c r="AB24" s="3">
        <f t="shared" si="3"/>
        <v>302572.9167</v>
      </c>
      <c r="AC24" s="4">
        <f t="shared" si="4"/>
        <v>61713.37051</v>
      </c>
      <c r="AD24" s="4">
        <f t="shared" ref="AD24:BA24" si="47">(D24-$AB24)/$AC24</f>
        <v>1.86308222</v>
      </c>
      <c r="AE24" s="4">
        <f t="shared" si="47"/>
        <v>0.6453558281</v>
      </c>
      <c r="AF24" s="4">
        <f t="shared" si="47"/>
        <v>-0.194656629</v>
      </c>
      <c r="AG24" s="4">
        <f t="shared" si="47"/>
        <v>-0.03326534671</v>
      </c>
      <c r="AH24" s="4">
        <f t="shared" si="47"/>
        <v>0.1033339012</v>
      </c>
      <c r="AI24" s="4">
        <f t="shared" si="47"/>
        <v>-0.1068312525</v>
      </c>
      <c r="AJ24" s="4">
        <f t="shared" si="47"/>
        <v>0.2248634813</v>
      </c>
      <c r="AK24" s="4">
        <f t="shared" si="47"/>
        <v>0.6947778573</v>
      </c>
      <c r="AL24" s="4">
        <f t="shared" si="47"/>
        <v>0.2096317739</v>
      </c>
      <c r="AM24" s="4">
        <f t="shared" si="47"/>
        <v>0.5897763002</v>
      </c>
      <c r="AN24" s="4">
        <f t="shared" si="47"/>
        <v>0.3830139747</v>
      </c>
      <c r="AO24" s="4">
        <f t="shared" si="47"/>
        <v>2.472674593</v>
      </c>
      <c r="AP24" s="4">
        <f t="shared" si="47"/>
        <v>1.715950408</v>
      </c>
      <c r="AQ24" s="4">
        <f t="shared" si="47"/>
        <v>-0.5179253118</v>
      </c>
      <c r="AR24" s="4">
        <f t="shared" si="47"/>
        <v>-1.265575288</v>
      </c>
      <c r="AS24" s="4">
        <f t="shared" si="47"/>
        <v>-0.5354255714</v>
      </c>
      <c r="AT24" s="4">
        <f t="shared" si="47"/>
        <v>-0.7588779592</v>
      </c>
      <c r="AU24" s="4">
        <f t="shared" si="47"/>
        <v>-0.8334161016</v>
      </c>
      <c r="AV24" s="4">
        <f t="shared" si="47"/>
        <v>-1.442846436</v>
      </c>
      <c r="AW24" s="4">
        <f t="shared" si="47"/>
        <v>-0.6840157379</v>
      </c>
      <c r="AX24" s="4">
        <f t="shared" si="47"/>
        <v>-0.5501711604</v>
      </c>
      <c r="AY24" s="4">
        <f t="shared" si="47"/>
        <v>-1.32293725</v>
      </c>
      <c r="AZ24" s="4">
        <f t="shared" si="47"/>
        <v>-0.9095746384</v>
      </c>
      <c r="BA24" s="4">
        <f t="shared" si="47"/>
        <v>0.2530583438</v>
      </c>
      <c r="BB24" s="4">
        <f t="shared" ref="BB24:BY24" si="48">IF(AD24&gt;=1,1,0)
</f>
        <v>1</v>
      </c>
      <c r="BC24" s="4">
        <f t="shared" si="48"/>
        <v>0</v>
      </c>
      <c r="BD24" s="4">
        <f t="shared" si="48"/>
        <v>0</v>
      </c>
      <c r="BE24" s="4">
        <f t="shared" si="48"/>
        <v>0</v>
      </c>
      <c r="BF24" s="4">
        <f t="shared" si="48"/>
        <v>0</v>
      </c>
      <c r="BG24" s="4">
        <f t="shared" si="48"/>
        <v>0</v>
      </c>
      <c r="BH24" s="4">
        <f t="shared" si="48"/>
        <v>0</v>
      </c>
      <c r="BI24" s="4">
        <f t="shared" si="48"/>
        <v>0</v>
      </c>
      <c r="BJ24" s="4">
        <f t="shared" si="48"/>
        <v>0</v>
      </c>
      <c r="BK24" s="4">
        <f t="shared" si="48"/>
        <v>0</v>
      </c>
      <c r="BL24" s="4">
        <f t="shared" si="48"/>
        <v>0</v>
      </c>
      <c r="BM24" s="4">
        <f t="shared" si="48"/>
        <v>1</v>
      </c>
      <c r="BN24" s="4">
        <f t="shared" si="48"/>
        <v>1</v>
      </c>
      <c r="BO24" s="4">
        <f t="shared" si="48"/>
        <v>0</v>
      </c>
      <c r="BP24" s="4">
        <f t="shared" si="48"/>
        <v>0</v>
      </c>
      <c r="BQ24" s="4">
        <f t="shared" si="48"/>
        <v>0</v>
      </c>
      <c r="BR24" s="4">
        <f t="shared" si="48"/>
        <v>0</v>
      </c>
      <c r="BS24" s="4">
        <f t="shared" si="48"/>
        <v>0</v>
      </c>
      <c r="BT24" s="4">
        <f t="shared" si="48"/>
        <v>0</v>
      </c>
      <c r="BU24" s="4">
        <f t="shared" si="48"/>
        <v>0</v>
      </c>
      <c r="BV24" s="4">
        <f t="shared" si="48"/>
        <v>0</v>
      </c>
      <c r="BW24" s="4">
        <f t="shared" si="48"/>
        <v>0</v>
      </c>
      <c r="BX24" s="4">
        <f t="shared" si="48"/>
        <v>0</v>
      </c>
      <c r="BY24" s="4">
        <f t="shared" si="48"/>
        <v>0</v>
      </c>
    </row>
    <row r="25">
      <c r="A25" s="1" t="s">
        <v>95</v>
      </c>
      <c r="B25" s="1" t="s">
        <v>54</v>
      </c>
      <c r="C25" s="1" t="s">
        <v>96</v>
      </c>
      <c r="D25" s="1">
        <v>5219050.0</v>
      </c>
      <c r="E25" s="1">
        <v>4953440.0</v>
      </c>
      <c r="F25" s="1">
        <v>4160540.0</v>
      </c>
      <c r="G25" s="1">
        <v>5262700.0</v>
      </c>
      <c r="H25" s="1">
        <v>4988820.0</v>
      </c>
      <c r="I25" s="1">
        <v>4355570.0</v>
      </c>
      <c r="J25" s="1">
        <v>4568220.0</v>
      </c>
      <c r="K25" s="1">
        <v>4900880.0</v>
      </c>
      <c r="L25" s="1">
        <v>5142210.0</v>
      </c>
      <c r="M25" s="1">
        <v>4477720.0</v>
      </c>
      <c r="N25" s="1">
        <v>4166540.0</v>
      </c>
      <c r="O25" s="1">
        <v>4349940.0</v>
      </c>
      <c r="P25" s="1">
        <v>4151180.0</v>
      </c>
      <c r="Q25" s="1">
        <v>3630190.0</v>
      </c>
      <c r="R25" s="1">
        <v>3112960.0</v>
      </c>
      <c r="S25" s="1">
        <v>3598310.0</v>
      </c>
      <c r="T25" s="1">
        <v>3411830.0</v>
      </c>
      <c r="U25" s="1">
        <v>3314510.0</v>
      </c>
      <c r="V25" s="1">
        <v>3464470.0</v>
      </c>
      <c r="W25" s="1">
        <v>3481730.0</v>
      </c>
      <c r="X25" s="1">
        <v>4262590.0</v>
      </c>
      <c r="Y25" s="1">
        <v>3552250.0</v>
      </c>
      <c r="Z25" s="1">
        <v>3278840.0</v>
      </c>
      <c r="AA25" s="1">
        <v>3297050.0</v>
      </c>
      <c r="AB25" s="3">
        <f t="shared" si="3"/>
        <v>4129230.833</v>
      </c>
      <c r="AC25" s="4">
        <f t="shared" si="4"/>
        <v>700896.8871</v>
      </c>
      <c r="AD25" s="4">
        <f t="shared" ref="AD25:BA25" si="49">(D25-$AB25)/$AC25</f>
        <v>1.554892291</v>
      </c>
      <c r="AE25" s="4">
        <f t="shared" si="49"/>
        <v>1.17593498</v>
      </c>
      <c r="AF25" s="4">
        <f t="shared" si="49"/>
        <v>0.04467014656</v>
      </c>
      <c r="AG25" s="4">
        <f t="shared" si="49"/>
        <v>1.61716964</v>
      </c>
      <c r="AH25" s="4">
        <f t="shared" si="49"/>
        <v>1.226413161</v>
      </c>
      <c r="AI25" s="4">
        <f t="shared" si="49"/>
        <v>0.3229279097</v>
      </c>
      <c r="AJ25" s="4">
        <f t="shared" si="49"/>
        <v>0.6263248914</v>
      </c>
      <c r="AK25" s="4">
        <f t="shared" si="49"/>
        <v>1.100945347</v>
      </c>
      <c r="AL25" s="4">
        <f t="shared" si="49"/>
        <v>1.445261329</v>
      </c>
      <c r="AM25" s="4">
        <f t="shared" si="49"/>
        <v>0.4972046147</v>
      </c>
      <c r="AN25" s="4">
        <f t="shared" si="49"/>
        <v>0.05323060689</v>
      </c>
      <c r="AO25" s="4">
        <f t="shared" si="49"/>
        <v>0.3148953444</v>
      </c>
      <c r="AP25" s="4">
        <f t="shared" si="49"/>
        <v>0.03131582844</v>
      </c>
      <c r="AQ25" s="4">
        <f t="shared" si="49"/>
        <v>-0.7120032098</v>
      </c>
      <c r="AR25" s="4">
        <f t="shared" si="49"/>
        <v>-1.449957693</v>
      </c>
      <c r="AS25" s="4">
        <f t="shared" si="49"/>
        <v>-0.7574877891</v>
      </c>
      <c r="AT25" s="4">
        <f t="shared" si="49"/>
        <v>-1.023546896</v>
      </c>
      <c r="AU25" s="4">
        <f t="shared" si="49"/>
        <v>-1.162397563</v>
      </c>
      <c r="AV25" s="4">
        <f t="shared" si="49"/>
        <v>-0.9484431243</v>
      </c>
      <c r="AW25" s="4">
        <f t="shared" si="49"/>
        <v>-0.9238175334</v>
      </c>
      <c r="AX25" s="4">
        <f t="shared" si="49"/>
        <v>0.1902693094</v>
      </c>
      <c r="AY25" s="4">
        <f t="shared" si="49"/>
        <v>-0.8232035896</v>
      </c>
      <c r="AZ25" s="4">
        <f t="shared" si="49"/>
        <v>-1.2132895</v>
      </c>
      <c r="BA25" s="4">
        <f t="shared" si="49"/>
        <v>-1.187308502</v>
      </c>
      <c r="BB25" s="4">
        <f t="shared" ref="BB25:BY25" si="50">IF(AD25&gt;=1,1,0)
</f>
        <v>1</v>
      </c>
      <c r="BC25" s="4">
        <f t="shared" si="50"/>
        <v>1</v>
      </c>
      <c r="BD25" s="4">
        <f t="shared" si="50"/>
        <v>0</v>
      </c>
      <c r="BE25" s="4">
        <f t="shared" si="50"/>
        <v>1</v>
      </c>
      <c r="BF25" s="4">
        <f t="shared" si="50"/>
        <v>1</v>
      </c>
      <c r="BG25" s="4">
        <f t="shared" si="50"/>
        <v>0</v>
      </c>
      <c r="BH25" s="4">
        <f t="shared" si="50"/>
        <v>0</v>
      </c>
      <c r="BI25" s="4">
        <f t="shared" si="50"/>
        <v>1</v>
      </c>
      <c r="BJ25" s="4">
        <f t="shared" si="50"/>
        <v>1</v>
      </c>
      <c r="BK25" s="4">
        <f t="shared" si="50"/>
        <v>0</v>
      </c>
      <c r="BL25" s="4">
        <f t="shared" si="50"/>
        <v>0</v>
      </c>
      <c r="BM25" s="4">
        <f t="shared" si="50"/>
        <v>0</v>
      </c>
      <c r="BN25" s="4">
        <f t="shared" si="50"/>
        <v>0</v>
      </c>
      <c r="BO25" s="4">
        <f t="shared" si="50"/>
        <v>0</v>
      </c>
      <c r="BP25" s="4">
        <f t="shared" si="50"/>
        <v>0</v>
      </c>
      <c r="BQ25" s="4">
        <f t="shared" si="50"/>
        <v>0</v>
      </c>
      <c r="BR25" s="4">
        <f t="shared" si="50"/>
        <v>0</v>
      </c>
      <c r="BS25" s="4">
        <f t="shared" si="50"/>
        <v>0</v>
      </c>
      <c r="BT25" s="4">
        <f t="shared" si="50"/>
        <v>0</v>
      </c>
      <c r="BU25" s="4">
        <f t="shared" si="50"/>
        <v>0</v>
      </c>
      <c r="BV25" s="4">
        <f t="shared" si="50"/>
        <v>0</v>
      </c>
      <c r="BW25" s="4">
        <f t="shared" si="50"/>
        <v>0</v>
      </c>
      <c r="BX25" s="4">
        <f t="shared" si="50"/>
        <v>0</v>
      </c>
      <c r="BY25" s="4">
        <f t="shared" si="50"/>
        <v>0</v>
      </c>
    </row>
    <row r="26">
      <c r="A26" s="1" t="s">
        <v>97</v>
      </c>
      <c r="B26" s="1" t="s">
        <v>79</v>
      </c>
      <c r="C26" s="1" t="s">
        <v>79</v>
      </c>
      <c r="D26" s="1">
        <v>210080.0</v>
      </c>
      <c r="E26" s="1">
        <v>237760.0</v>
      </c>
      <c r="F26" s="1">
        <v>213370.0</v>
      </c>
      <c r="G26" s="1">
        <v>206740.0</v>
      </c>
      <c r="H26" s="1">
        <v>213370.0</v>
      </c>
      <c r="I26" s="1">
        <v>220850.0</v>
      </c>
      <c r="J26" s="1">
        <v>216430.0</v>
      </c>
      <c r="K26" s="1">
        <v>218620.0</v>
      </c>
      <c r="L26" s="1">
        <v>219210.0</v>
      </c>
      <c r="M26" s="1">
        <v>194530.0</v>
      </c>
      <c r="N26" s="1">
        <v>200840.0</v>
      </c>
      <c r="O26" s="1">
        <v>195160.0</v>
      </c>
      <c r="P26" s="1">
        <v>178300.0</v>
      </c>
      <c r="Q26" s="1">
        <v>185250.0</v>
      </c>
      <c r="R26" s="1">
        <v>177390.0</v>
      </c>
      <c r="S26" s="1">
        <v>196320.0</v>
      </c>
      <c r="T26" s="1">
        <v>226490.0</v>
      </c>
      <c r="U26" s="1">
        <v>231410.0</v>
      </c>
      <c r="V26" s="1">
        <v>229690.0</v>
      </c>
      <c r="W26" s="1">
        <v>237960.0</v>
      </c>
      <c r="X26" s="1">
        <v>307060.0</v>
      </c>
      <c r="Y26" s="1">
        <v>214720.0</v>
      </c>
      <c r="Z26" s="1">
        <v>212380.0</v>
      </c>
      <c r="AA26" s="1">
        <v>237750.0</v>
      </c>
      <c r="AB26" s="3">
        <f t="shared" si="3"/>
        <v>215903.3333</v>
      </c>
      <c r="AC26" s="4">
        <f t="shared" si="4"/>
        <v>26222.83351</v>
      </c>
      <c r="AD26" s="4">
        <f t="shared" ref="AD26:BA26" si="51">(D26-$AB26)/$AC26</f>
        <v>-0.2220710943</v>
      </c>
      <c r="AE26" s="4">
        <f t="shared" si="51"/>
        <v>0.8334975189</v>
      </c>
      <c r="AF26" s="4">
        <f t="shared" si="51"/>
        <v>-0.0966079174</v>
      </c>
      <c r="AG26" s="4">
        <f t="shared" si="51"/>
        <v>-0.3494410065</v>
      </c>
      <c r="AH26" s="4">
        <f t="shared" si="51"/>
        <v>-0.0966079174</v>
      </c>
      <c r="AI26" s="4">
        <f t="shared" si="51"/>
        <v>0.1886396703</v>
      </c>
      <c r="AJ26" s="4">
        <f t="shared" si="51"/>
        <v>0.02008427756</v>
      </c>
      <c r="AK26" s="4">
        <f t="shared" si="51"/>
        <v>0.1035992798</v>
      </c>
      <c r="AL26" s="4">
        <f t="shared" si="51"/>
        <v>0.1260987553</v>
      </c>
      <c r="AM26" s="4">
        <f t="shared" si="51"/>
        <v>-0.8150657452</v>
      </c>
      <c r="AN26" s="4">
        <f t="shared" si="51"/>
        <v>-0.5744357615</v>
      </c>
      <c r="AO26" s="4">
        <f t="shared" si="51"/>
        <v>-0.7910408815</v>
      </c>
      <c r="AP26" s="4">
        <f t="shared" si="51"/>
        <v>-1.433991995</v>
      </c>
      <c r="AQ26" s="4">
        <f t="shared" si="51"/>
        <v>-1.168955801</v>
      </c>
      <c r="AR26" s="4">
        <f t="shared" si="51"/>
        <v>-1.468694576</v>
      </c>
      <c r="AS26" s="4">
        <f t="shared" si="51"/>
        <v>-0.7468046246</v>
      </c>
      <c r="AT26" s="4">
        <f t="shared" si="51"/>
        <v>0.4037194022</v>
      </c>
      <c r="AU26" s="4">
        <f t="shared" si="51"/>
        <v>0.591342147</v>
      </c>
      <c r="AV26" s="4">
        <f t="shared" si="51"/>
        <v>0.5257504557</v>
      </c>
      <c r="AW26" s="4">
        <f t="shared" si="51"/>
        <v>0.8411244598</v>
      </c>
      <c r="AX26" s="4">
        <f t="shared" si="51"/>
        <v>3.476232522</v>
      </c>
      <c r="AY26" s="4">
        <f t="shared" si="51"/>
        <v>-0.04512606668</v>
      </c>
      <c r="AZ26" s="4">
        <f t="shared" si="51"/>
        <v>-0.1343612746</v>
      </c>
      <c r="BA26" s="4">
        <f t="shared" si="51"/>
        <v>0.8331161719</v>
      </c>
      <c r="BB26" s="4">
        <f t="shared" ref="BB26:BY26" si="52">IF(AD26&gt;=1,1,0)
</f>
        <v>0</v>
      </c>
      <c r="BC26" s="4">
        <f t="shared" si="52"/>
        <v>0</v>
      </c>
      <c r="BD26" s="4">
        <f t="shared" si="52"/>
        <v>0</v>
      </c>
      <c r="BE26" s="4">
        <f t="shared" si="52"/>
        <v>0</v>
      </c>
      <c r="BF26" s="4">
        <f t="shared" si="52"/>
        <v>0</v>
      </c>
      <c r="BG26" s="4">
        <f t="shared" si="52"/>
        <v>0</v>
      </c>
      <c r="BH26" s="4">
        <f t="shared" si="52"/>
        <v>0</v>
      </c>
      <c r="BI26" s="4">
        <f t="shared" si="52"/>
        <v>0</v>
      </c>
      <c r="BJ26" s="4">
        <f t="shared" si="52"/>
        <v>0</v>
      </c>
      <c r="BK26" s="4">
        <f t="shared" si="52"/>
        <v>0</v>
      </c>
      <c r="BL26" s="4">
        <f t="shared" si="52"/>
        <v>0</v>
      </c>
      <c r="BM26" s="4">
        <f t="shared" si="52"/>
        <v>0</v>
      </c>
      <c r="BN26" s="4">
        <f t="shared" si="52"/>
        <v>0</v>
      </c>
      <c r="BO26" s="4">
        <f t="shared" si="52"/>
        <v>0</v>
      </c>
      <c r="BP26" s="4">
        <f t="shared" si="52"/>
        <v>0</v>
      </c>
      <c r="BQ26" s="4">
        <f t="shared" si="52"/>
        <v>0</v>
      </c>
      <c r="BR26" s="4">
        <f t="shared" si="52"/>
        <v>0</v>
      </c>
      <c r="BS26" s="4">
        <f t="shared" si="52"/>
        <v>0</v>
      </c>
      <c r="BT26" s="4">
        <f t="shared" si="52"/>
        <v>0</v>
      </c>
      <c r="BU26" s="4">
        <f t="shared" si="52"/>
        <v>0</v>
      </c>
      <c r="BV26" s="4">
        <f t="shared" si="52"/>
        <v>1</v>
      </c>
      <c r="BW26" s="4">
        <f t="shared" si="52"/>
        <v>0</v>
      </c>
      <c r="BX26" s="4">
        <f t="shared" si="52"/>
        <v>0</v>
      </c>
      <c r="BY26" s="4">
        <f t="shared" si="52"/>
        <v>0</v>
      </c>
    </row>
    <row r="27">
      <c r="A27" s="5" t="s">
        <v>98</v>
      </c>
      <c r="B27" s="1" t="s">
        <v>79</v>
      </c>
      <c r="C27" s="1" t="s">
        <v>79</v>
      </c>
      <c r="D27" s="1">
        <v>2689150.0</v>
      </c>
      <c r="E27" s="1">
        <v>2664320.0</v>
      </c>
      <c r="F27" s="1">
        <v>2235140.0</v>
      </c>
      <c r="G27" s="1">
        <v>2165490.0</v>
      </c>
      <c r="H27" s="1">
        <v>1998000.0</v>
      </c>
      <c r="I27" s="1">
        <v>1882280.0</v>
      </c>
      <c r="J27" s="1">
        <v>1591590.0</v>
      </c>
      <c r="K27" s="1">
        <v>1659730.0</v>
      </c>
      <c r="L27" s="1">
        <v>1932930.0</v>
      </c>
      <c r="M27" s="1">
        <v>1634150.0</v>
      </c>
      <c r="N27" s="1">
        <v>1920170.0</v>
      </c>
      <c r="O27" s="1">
        <v>2462640.0</v>
      </c>
      <c r="P27" s="1">
        <v>2184170.0</v>
      </c>
      <c r="Q27" s="1">
        <v>1807390.0</v>
      </c>
      <c r="R27" s="1">
        <v>1779670.0</v>
      </c>
      <c r="S27" s="1">
        <v>1582490.0</v>
      </c>
      <c r="T27" s="1">
        <v>1742730.0</v>
      </c>
      <c r="U27" s="1">
        <v>2118510.0</v>
      </c>
      <c r="V27" s="1">
        <v>1918770.0</v>
      </c>
      <c r="W27" s="1">
        <v>1479670.0</v>
      </c>
      <c r="X27" s="1">
        <v>1739510.0</v>
      </c>
      <c r="Y27" s="1">
        <v>1237660.0</v>
      </c>
      <c r="Z27" s="1">
        <v>1454880.0</v>
      </c>
      <c r="AA27" s="1">
        <v>1760120.0</v>
      </c>
      <c r="AB27" s="3">
        <f t="shared" si="3"/>
        <v>1901715</v>
      </c>
      <c r="AC27" s="4">
        <f t="shared" si="4"/>
        <v>365789.932</v>
      </c>
      <c r="AD27" s="4">
        <f t="shared" ref="AD27:BA27" si="53">(D27-$AB27)/$AC27</f>
        <v>2.152697303</v>
      </c>
      <c r="AE27" s="4">
        <f t="shared" si="53"/>
        <v>2.084816812</v>
      </c>
      <c r="AF27" s="4">
        <f t="shared" si="53"/>
        <v>0.9115204407</v>
      </c>
      <c r="AG27" s="4">
        <f t="shared" si="53"/>
        <v>0.7211106073</v>
      </c>
      <c r="AH27" s="4">
        <f t="shared" si="53"/>
        <v>0.2632248501</v>
      </c>
      <c r="AI27" s="4">
        <f t="shared" si="53"/>
        <v>-0.05313158811</v>
      </c>
      <c r="AJ27" s="4">
        <f t="shared" si="53"/>
        <v>-0.8478226788</v>
      </c>
      <c r="AK27" s="4">
        <f t="shared" si="53"/>
        <v>-0.6615408978</v>
      </c>
      <c r="AL27" s="4">
        <f t="shared" si="53"/>
        <v>0.08533586431</v>
      </c>
      <c r="AM27" s="4">
        <f t="shared" si="53"/>
        <v>-0.7314717454</v>
      </c>
      <c r="AN27" s="4">
        <f t="shared" si="53"/>
        <v>0.05045245477</v>
      </c>
      <c r="AO27" s="4">
        <f t="shared" si="53"/>
        <v>1.533462108</v>
      </c>
      <c r="AP27" s="4">
        <f t="shared" si="53"/>
        <v>0.7721781692</v>
      </c>
      <c r="AQ27" s="4">
        <f t="shared" si="53"/>
        <v>-0.2578665834</v>
      </c>
      <c r="AR27" s="4">
        <f t="shared" si="53"/>
        <v>-0.3336477834</v>
      </c>
      <c r="AS27" s="4">
        <f t="shared" si="53"/>
        <v>-0.8727003454</v>
      </c>
      <c r="AT27" s="4">
        <f t="shared" si="53"/>
        <v>-0.4346347072</v>
      </c>
      <c r="AU27" s="4">
        <f t="shared" si="53"/>
        <v>0.5926762359</v>
      </c>
      <c r="AV27" s="4">
        <f t="shared" si="53"/>
        <v>0.04662512144</v>
      </c>
      <c r="AW27" s="4">
        <f t="shared" si="53"/>
        <v>-1.153790641</v>
      </c>
      <c r="AX27" s="4">
        <f t="shared" si="53"/>
        <v>-0.4434375739</v>
      </c>
      <c r="AY27" s="4">
        <f t="shared" si="53"/>
        <v>-1.815399884</v>
      </c>
      <c r="AZ27" s="4">
        <f t="shared" si="53"/>
        <v>-1.221561779</v>
      </c>
      <c r="BA27" s="4">
        <f t="shared" si="53"/>
        <v>-0.3870937596</v>
      </c>
      <c r="BB27" s="4">
        <f t="shared" ref="BB27:BY27" si="54">IF(AD27&gt;=1,1,0)
</f>
        <v>1</v>
      </c>
      <c r="BC27" s="4">
        <f t="shared" si="54"/>
        <v>1</v>
      </c>
      <c r="BD27" s="4">
        <f t="shared" si="54"/>
        <v>0</v>
      </c>
      <c r="BE27" s="4">
        <f t="shared" si="54"/>
        <v>0</v>
      </c>
      <c r="BF27" s="4">
        <f t="shared" si="54"/>
        <v>0</v>
      </c>
      <c r="BG27" s="4">
        <f t="shared" si="54"/>
        <v>0</v>
      </c>
      <c r="BH27" s="4">
        <f t="shared" si="54"/>
        <v>0</v>
      </c>
      <c r="BI27" s="4">
        <f t="shared" si="54"/>
        <v>0</v>
      </c>
      <c r="BJ27" s="4">
        <f t="shared" si="54"/>
        <v>0</v>
      </c>
      <c r="BK27" s="4">
        <f t="shared" si="54"/>
        <v>0</v>
      </c>
      <c r="BL27" s="4">
        <f t="shared" si="54"/>
        <v>0</v>
      </c>
      <c r="BM27" s="4">
        <f t="shared" si="54"/>
        <v>1</v>
      </c>
      <c r="BN27" s="4">
        <f t="shared" si="54"/>
        <v>0</v>
      </c>
      <c r="BO27" s="4">
        <f t="shared" si="54"/>
        <v>0</v>
      </c>
      <c r="BP27" s="4">
        <f t="shared" si="54"/>
        <v>0</v>
      </c>
      <c r="BQ27" s="4">
        <f t="shared" si="54"/>
        <v>0</v>
      </c>
      <c r="BR27" s="4">
        <f t="shared" si="54"/>
        <v>0</v>
      </c>
      <c r="BS27" s="4">
        <f t="shared" si="54"/>
        <v>0</v>
      </c>
      <c r="BT27" s="4">
        <f t="shared" si="54"/>
        <v>0</v>
      </c>
      <c r="BU27" s="4">
        <f t="shared" si="54"/>
        <v>0</v>
      </c>
      <c r="BV27" s="4">
        <f t="shared" si="54"/>
        <v>0</v>
      </c>
      <c r="BW27" s="4">
        <f t="shared" si="54"/>
        <v>0</v>
      </c>
      <c r="BX27" s="4">
        <f t="shared" si="54"/>
        <v>0</v>
      </c>
      <c r="BY27" s="4">
        <f t="shared" si="54"/>
        <v>0</v>
      </c>
    </row>
    <row r="28">
      <c r="A28" s="5" t="s">
        <v>99</v>
      </c>
      <c r="B28" s="1" t="s">
        <v>54</v>
      </c>
      <c r="C28" s="1" t="s">
        <v>100</v>
      </c>
      <c r="D28" s="1">
        <v>2.363606E7</v>
      </c>
      <c r="E28" s="1">
        <v>3.566961E7</v>
      </c>
      <c r="F28" s="1">
        <v>1.885829E7</v>
      </c>
      <c r="G28" s="1">
        <v>1.765905E7</v>
      </c>
      <c r="H28" s="1">
        <v>1.476364E7</v>
      </c>
      <c r="I28" s="1">
        <v>1.480269E7</v>
      </c>
      <c r="J28" s="1">
        <v>1.720618E7</v>
      </c>
      <c r="K28" s="1">
        <v>1.722485E7</v>
      </c>
      <c r="L28" s="1">
        <v>1.738617E7</v>
      </c>
      <c r="M28" s="1">
        <v>1.753434E7</v>
      </c>
      <c r="N28" s="1">
        <v>1.741574E7</v>
      </c>
      <c r="O28" s="1">
        <v>2.209443E7</v>
      </c>
      <c r="P28" s="1">
        <v>2.367768E7</v>
      </c>
      <c r="Q28" s="1">
        <v>1.776288E7</v>
      </c>
      <c r="R28" s="1">
        <v>1.431179E7</v>
      </c>
      <c r="S28" s="1">
        <v>1.582779E7</v>
      </c>
      <c r="T28" s="1">
        <v>1.420376E7</v>
      </c>
      <c r="U28" s="1">
        <v>1.59423E7</v>
      </c>
      <c r="V28" s="1">
        <v>1.574355E7</v>
      </c>
      <c r="W28" s="1">
        <v>1.454734E7</v>
      </c>
      <c r="X28" s="1">
        <v>1.591299E7</v>
      </c>
      <c r="Y28" s="1">
        <v>1.489041E7</v>
      </c>
      <c r="Z28" s="1">
        <v>1.407325E7</v>
      </c>
      <c r="AA28" s="1">
        <v>1.723647E7</v>
      </c>
      <c r="AB28" s="3">
        <f t="shared" si="3"/>
        <v>17849219.17</v>
      </c>
      <c r="AC28" s="4">
        <f t="shared" si="4"/>
        <v>4663521.225</v>
      </c>
      <c r="AD28" s="4">
        <f t="shared" ref="AD28:BA28" si="55">(D28-$AB28)/$AC28</f>
        <v>1.240873699</v>
      </c>
      <c r="AE28" s="4">
        <f t="shared" si="55"/>
        <v>3.821230777</v>
      </c>
      <c r="AF28" s="4">
        <f t="shared" si="55"/>
        <v>0.2163753063</v>
      </c>
      <c r="AG28" s="4">
        <f t="shared" si="55"/>
        <v>-0.04077802105</v>
      </c>
      <c r="AH28" s="4">
        <f t="shared" si="55"/>
        <v>-0.6616414975</v>
      </c>
      <c r="AI28" s="4">
        <f t="shared" si="55"/>
        <v>-0.6532679964</v>
      </c>
      <c r="AJ28" s="4">
        <f t="shared" si="55"/>
        <v>-0.1378870462</v>
      </c>
      <c r="AK28" s="4">
        <f t="shared" si="55"/>
        <v>-0.1338836335</v>
      </c>
      <c r="AL28" s="4">
        <f t="shared" si="55"/>
        <v>-0.09929174637</v>
      </c>
      <c r="AM28" s="4">
        <f t="shared" si="55"/>
        <v>-0.06751961693</v>
      </c>
      <c r="AN28" s="4">
        <f t="shared" si="55"/>
        <v>-0.09295104402</v>
      </c>
      <c r="AO28" s="4">
        <f t="shared" si="55"/>
        <v>0.9103016001</v>
      </c>
      <c r="AP28" s="4">
        <f t="shared" si="55"/>
        <v>1.249798286</v>
      </c>
      <c r="AQ28" s="4">
        <f t="shared" si="55"/>
        <v>-0.01851372868</v>
      </c>
      <c r="AR28" s="4">
        <f t="shared" si="55"/>
        <v>-0.7585318038</v>
      </c>
      <c r="AS28" s="4">
        <f t="shared" si="55"/>
        <v>-0.433455552</v>
      </c>
      <c r="AT28" s="4">
        <f t="shared" si="55"/>
        <v>-0.7816967032</v>
      </c>
      <c r="AU28" s="4">
        <f t="shared" si="55"/>
        <v>-0.4089011446</v>
      </c>
      <c r="AV28" s="4">
        <f t="shared" si="55"/>
        <v>-0.4515191558</v>
      </c>
      <c r="AW28" s="4">
        <f t="shared" si="55"/>
        <v>-0.7080227595</v>
      </c>
      <c r="AX28" s="4">
        <f t="shared" si="55"/>
        <v>-0.4151860951</v>
      </c>
      <c r="AY28" s="4">
        <f t="shared" si="55"/>
        <v>-0.6344581753</v>
      </c>
      <c r="AZ28" s="4">
        <f t="shared" si="55"/>
        <v>-0.8096819945</v>
      </c>
      <c r="BA28" s="4">
        <f t="shared" si="55"/>
        <v>-0.1313919541</v>
      </c>
      <c r="BB28" s="4">
        <f t="shared" ref="BB28:BY28" si="56">IF(AD28&gt;=1,1,0)
</f>
        <v>1</v>
      </c>
      <c r="BC28" s="4">
        <f t="shared" si="56"/>
        <v>1</v>
      </c>
      <c r="BD28" s="4">
        <f t="shared" si="56"/>
        <v>0</v>
      </c>
      <c r="BE28" s="4">
        <f t="shared" si="56"/>
        <v>0</v>
      </c>
      <c r="BF28" s="4">
        <f t="shared" si="56"/>
        <v>0</v>
      </c>
      <c r="BG28" s="4">
        <f t="shared" si="56"/>
        <v>0</v>
      </c>
      <c r="BH28" s="4">
        <f t="shared" si="56"/>
        <v>0</v>
      </c>
      <c r="BI28" s="4">
        <f t="shared" si="56"/>
        <v>0</v>
      </c>
      <c r="BJ28" s="4">
        <f t="shared" si="56"/>
        <v>0</v>
      </c>
      <c r="BK28" s="4">
        <f t="shared" si="56"/>
        <v>0</v>
      </c>
      <c r="BL28" s="4">
        <f t="shared" si="56"/>
        <v>0</v>
      </c>
      <c r="BM28" s="4">
        <f t="shared" si="56"/>
        <v>0</v>
      </c>
      <c r="BN28" s="4">
        <f t="shared" si="56"/>
        <v>1</v>
      </c>
      <c r="BO28" s="4">
        <f t="shared" si="56"/>
        <v>0</v>
      </c>
      <c r="BP28" s="4">
        <f t="shared" si="56"/>
        <v>0</v>
      </c>
      <c r="BQ28" s="4">
        <f t="shared" si="56"/>
        <v>0</v>
      </c>
      <c r="BR28" s="4">
        <f t="shared" si="56"/>
        <v>0</v>
      </c>
      <c r="BS28" s="4">
        <f t="shared" si="56"/>
        <v>0</v>
      </c>
      <c r="BT28" s="4">
        <f t="shared" si="56"/>
        <v>0</v>
      </c>
      <c r="BU28" s="4">
        <f t="shared" si="56"/>
        <v>0</v>
      </c>
      <c r="BV28" s="4">
        <f t="shared" si="56"/>
        <v>0</v>
      </c>
      <c r="BW28" s="4">
        <f t="shared" si="56"/>
        <v>0</v>
      </c>
      <c r="BX28" s="4">
        <f t="shared" si="56"/>
        <v>0</v>
      </c>
      <c r="BY28" s="4">
        <f t="shared" si="56"/>
        <v>0</v>
      </c>
    </row>
    <row r="29">
      <c r="A29" s="1" t="s">
        <v>101</v>
      </c>
      <c r="B29" s="1" t="s">
        <v>54</v>
      </c>
      <c r="C29" s="1" t="s">
        <v>102</v>
      </c>
      <c r="D29" s="1">
        <v>8976050.0</v>
      </c>
      <c r="E29" s="1">
        <v>7951520.0</v>
      </c>
      <c r="F29" s="1">
        <v>7600660.0</v>
      </c>
      <c r="G29" s="1">
        <v>7113220.0</v>
      </c>
      <c r="H29" s="1">
        <v>7182590.0</v>
      </c>
      <c r="I29" s="1">
        <v>8332610.0</v>
      </c>
      <c r="J29" s="1">
        <v>8591920.0</v>
      </c>
      <c r="K29" s="1">
        <v>9207840.0</v>
      </c>
      <c r="L29" s="1">
        <v>9195370.0</v>
      </c>
      <c r="M29" s="1">
        <v>9262490.0</v>
      </c>
      <c r="N29" s="1">
        <v>8350810.0</v>
      </c>
      <c r="O29" s="1">
        <v>7672950.0</v>
      </c>
      <c r="P29" s="1">
        <v>9268160.0</v>
      </c>
      <c r="Q29" s="1">
        <v>7533560.0</v>
      </c>
      <c r="R29" s="1">
        <v>7180670.0</v>
      </c>
      <c r="S29" s="1">
        <v>7736240.0</v>
      </c>
      <c r="T29" s="1">
        <v>7202630.0</v>
      </c>
      <c r="U29" s="1">
        <v>7540040.0</v>
      </c>
      <c r="V29" s="1">
        <v>7438610.0</v>
      </c>
      <c r="W29" s="1">
        <v>7951640.0</v>
      </c>
      <c r="X29" s="1">
        <v>7763800.0</v>
      </c>
      <c r="Y29" s="1">
        <v>6582490.0</v>
      </c>
      <c r="Z29" s="1">
        <v>6878430.0</v>
      </c>
      <c r="AA29" s="1">
        <v>7358680.0</v>
      </c>
      <c r="AB29" s="3">
        <f t="shared" si="3"/>
        <v>7911374.167</v>
      </c>
      <c r="AC29" s="4">
        <f t="shared" si="4"/>
        <v>808086.4003</v>
      </c>
      <c r="AD29" s="4">
        <f t="shared" ref="AD29:BA29" si="57">(D29-$AB29)/$AC29</f>
        <v>1.317527226</v>
      </c>
      <c r="AE29" s="4">
        <f t="shared" si="57"/>
        <v>0.04968012495</v>
      </c>
      <c r="AF29" s="4">
        <f t="shared" si="57"/>
        <v>-0.3845061203</v>
      </c>
      <c r="AG29" s="4">
        <f t="shared" si="57"/>
        <v>-0.9877089459</v>
      </c>
      <c r="AH29" s="4">
        <f t="shared" si="57"/>
        <v>-0.901864165</v>
      </c>
      <c r="AI29" s="4">
        <f t="shared" si="57"/>
        <v>0.5212757363</v>
      </c>
      <c r="AJ29" s="4">
        <f t="shared" si="57"/>
        <v>0.8421696406</v>
      </c>
      <c r="AK29" s="4">
        <f t="shared" si="57"/>
        <v>1.604365366</v>
      </c>
      <c r="AL29" s="4">
        <f t="shared" si="57"/>
        <v>1.588933848</v>
      </c>
      <c r="AM29" s="4">
        <f t="shared" si="57"/>
        <v>1.671994273</v>
      </c>
      <c r="AN29" s="4">
        <f t="shared" si="57"/>
        <v>0.5437980805</v>
      </c>
      <c r="AO29" s="4">
        <f t="shared" si="57"/>
        <v>-0.2950478644</v>
      </c>
      <c r="AP29" s="4">
        <f t="shared" si="57"/>
        <v>1.679010849</v>
      </c>
      <c r="AQ29" s="4">
        <f t="shared" si="57"/>
        <v>-0.4675417957</v>
      </c>
      <c r="AR29" s="4">
        <f t="shared" si="57"/>
        <v>-0.9042401486</v>
      </c>
      <c r="AS29" s="4">
        <f t="shared" si="57"/>
        <v>-0.2167270314</v>
      </c>
      <c r="AT29" s="4">
        <f t="shared" si="57"/>
        <v>-0.8770648366</v>
      </c>
      <c r="AU29" s="4">
        <f t="shared" si="57"/>
        <v>-0.4595228512</v>
      </c>
      <c r="AV29" s="4">
        <f t="shared" si="57"/>
        <v>-0.5850416075</v>
      </c>
      <c r="AW29" s="4">
        <f t="shared" si="57"/>
        <v>0.04982862392</v>
      </c>
      <c r="AX29" s="4">
        <f t="shared" si="57"/>
        <v>-0.1826217674</v>
      </c>
      <c r="AY29" s="4">
        <f t="shared" si="57"/>
        <v>-1.644482776</v>
      </c>
      <c r="AZ29" s="4">
        <f t="shared" si="57"/>
        <v>-1.27825956</v>
      </c>
      <c r="BA29" s="4">
        <f t="shared" si="57"/>
        <v>-0.683954298</v>
      </c>
      <c r="BB29" s="4">
        <f t="shared" ref="BB29:BY29" si="58">IF(AD29&gt;=1,1,0)
</f>
        <v>1</v>
      </c>
      <c r="BC29" s="4">
        <f t="shared" si="58"/>
        <v>0</v>
      </c>
      <c r="BD29" s="4">
        <f t="shared" si="58"/>
        <v>0</v>
      </c>
      <c r="BE29" s="4">
        <f t="shared" si="58"/>
        <v>0</v>
      </c>
      <c r="BF29" s="4">
        <f t="shared" si="58"/>
        <v>0</v>
      </c>
      <c r="BG29" s="4">
        <f t="shared" si="58"/>
        <v>0</v>
      </c>
      <c r="BH29" s="4">
        <f t="shared" si="58"/>
        <v>0</v>
      </c>
      <c r="BI29" s="4">
        <f t="shared" si="58"/>
        <v>1</v>
      </c>
      <c r="BJ29" s="4">
        <f t="shared" si="58"/>
        <v>1</v>
      </c>
      <c r="BK29" s="4">
        <f t="shared" si="58"/>
        <v>1</v>
      </c>
      <c r="BL29" s="4">
        <f t="shared" si="58"/>
        <v>0</v>
      </c>
      <c r="BM29" s="4">
        <f t="shared" si="58"/>
        <v>0</v>
      </c>
      <c r="BN29" s="4">
        <f t="shared" si="58"/>
        <v>1</v>
      </c>
      <c r="BO29" s="4">
        <f t="shared" si="58"/>
        <v>0</v>
      </c>
      <c r="BP29" s="4">
        <f t="shared" si="58"/>
        <v>0</v>
      </c>
      <c r="BQ29" s="4">
        <f t="shared" si="58"/>
        <v>0</v>
      </c>
      <c r="BR29" s="4">
        <f t="shared" si="58"/>
        <v>0</v>
      </c>
      <c r="BS29" s="4">
        <f t="shared" si="58"/>
        <v>0</v>
      </c>
      <c r="BT29" s="4">
        <f t="shared" si="58"/>
        <v>0</v>
      </c>
      <c r="BU29" s="4">
        <f t="shared" si="58"/>
        <v>0</v>
      </c>
      <c r="BV29" s="4">
        <f t="shared" si="58"/>
        <v>0</v>
      </c>
      <c r="BW29" s="4">
        <f t="shared" si="58"/>
        <v>0</v>
      </c>
      <c r="BX29" s="4">
        <f t="shared" si="58"/>
        <v>0</v>
      </c>
      <c r="BY29" s="4">
        <f t="shared" si="58"/>
        <v>0</v>
      </c>
    </row>
    <row r="30">
      <c r="A30" s="1" t="s">
        <v>103</v>
      </c>
      <c r="B30" s="1" t="s">
        <v>72</v>
      </c>
      <c r="C30" s="1" t="s">
        <v>72</v>
      </c>
      <c r="D30" s="1">
        <v>720.0</v>
      </c>
      <c r="E30" s="1">
        <v>1150.0</v>
      </c>
      <c r="F30" s="1">
        <v>1080.0</v>
      </c>
      <c r="G30" s="1">
        <v>1210.0</v>
      </c>
      <c r="H30" s="1">
        <v>1200.0</v>
      </c>
      <c r="I30" s="1">
        <v>1060.0</v>
      </c>
      <c r="J30" s="1">
        <v>890.0</v>
      </c>
      <c r="K30" s="1">
        <v>860.0</v>
      </c>
      <c r="L30" s="1">
        <v>2670.0</v>
      </c>
      <c r="M30" s="1">
        <v>1380.0</v>
      </c>
      <c r="N30" s="1">
        <v>1020.0</v>
      </c>
      <c r="O30" s="1">
        <v>1000.0</v>
      </c>
      <c r="P30" s="1">
        <v>760.0</v>
      </c>
      <c r="Q30" s="1">
        <v>980.0</v>
      </c>
      <c r="R30" s="1">
        <v>1010.0</v>
      </c>
      <c r="S30" s="1">
        <v>1140.0</v>
      </c>
      <c r="T30" s="1">
        <v>35100.0</v>
      </c>
      <c r="U30" s="1">
        <v>39370.0</v>
      </c>
      <c r="V30" s="1">
        <v>3040.0</v>
      </c>
      <c r="W30" s="1">
        <v>1900.0</v>
      </c>
      <c r="X30" s="1">
        <v>1620.0</v>
      </c>
      <c r="Y30" s="1">
        <v>1450.0</v>
      </c>
      <c r="Z30" s="1">
        <v>1740.0</v>
      </c>
      <c r="AA30" s="1">
        <v>1240.0</v>
      </c>
      <c r="AB30" s="3">
        <f t="shared" si="3"/>
        <v>4316.25</v>
      </c>
      <c r="AC30" s="4">
        <f t="shared" si="4"/>
        <v>10173.55558</v>
      </c>
      <c r="AD30" s="4">
        <f t="shared" ref="AD30:BA30" si="59">(D30-$AB30)/$AC30</f>
        <v>-0.3534899841</v>
      </c>
      <c r="AE30" s="4">
        <f t="shared" si="59"/>
        <v>-0.3112235418</v>
      </c>
      <c r="AF30" s="4">
        <f t="shared" si="59"/>
        <v>-0.3181041254</v>
      </c>
      <c r="AG30" s="4">
        <f t="shared" si="59"/>
        <v>-0.3053258986</v>
      </c>
      <c r="AH30" s="4">
        <f t="shared" si="59"/>
        <v>-0.3063088392</v>
      </c>
      <c r="AI30" s="4">
        <f t="shared" si="59"/>
        <v>-0.3200700064</v>
      </c>
      <c r="AJ30" s="4">
        <f t="shared" si="59"/>
        <v>-0.3367799952</v>
      </c>
      <c r="AK30" s="4">
        <f t="shared" si="59"/>
        <v>-0.3397288168</v>
      </c>
      <c r="AL30" s="4">
        <f t="shared" si="59"/>
        <v>-0.1618165829</v>
      </c>
      <c r="AM30" s="4">
        <f t="shared" si="59"/>
        <v>-0.2886159098</v>
      </c>
      <c r="AN30" s="4">
        <f t="shared" si="59"/>
        <v>-0.3240017685</v>
      </c>
      <c r="AO30" s="4">
        <f t="shared" si="59"/>
        <v>-0.3259676495</v>
      </c>
      <c r="AP30" s="4">
        <f t="shared" si="59"/>
        <v>-0.349558222</v>
      </c>
      <c r="AQ30" s="4">
        <f t="shared" si="59"/>
        <v>-0.3279335306</v>
      </c>
      <c r="AR30" s="4">
        <f t="shared" si="59"/>
        <v>-0.324984709</v>
      </c>
      <c r="AS30" s="4">
        <f t="shared" si="59"/>
        <v>-0.3122064823</v>
      </c>
      <c r="AT30" s="4">
        <f t="shared" si="59"/>
        <v>3.025859519</v>
      </c>
      <c r="AU30" s="4">
        <f t="shared" si="59"/>
        <v>3.445575121</v>
      </c>
      <c r="AV30" s="4">
        <f t="shared" si="59"/>
        <v>-0.1254477837</v>
      </c>
      <c r="AW30" s="4">
        <f t="shared" si="59"/>
        <v>-0.2375030028</v>
      </c>
      <c r="AX30" s="4">
        <f t="shared" si="59"/>
        <v>-0.2650253374</v>
      </c>
      <c r="AY30" s="4">
        <f t="shared" si="59"/>
        <v>-0.2817353262</v>
      </c>
      <c r="AZ30" s="4">
        <f t="shared" si="59"/>
        <v>-0.2532300511</v>
      </c>
      <c r="BA30" s="4">
        <f t="shared" si="59"/>
        <v>-0.3023770771</v>
      </c>
      <c r="BB30" s="4">
        <f t="shared" ref="BB30:BY30" si="60">IF(AD30&gt;=1,1,0)
</f>
        <v>0</v>
      </c>
      <c r="BC30" s="4">
        <f t="shared" si="60"/>
        <v>0</v>
      </c>
      <c r="BD30" s="4">
        <f t="shared" si="60"/>
        <v>0</v>
      </c>
      <c r="BE30" s="4">
        <f t="shared" si="60"/>
        <v>0</v>
      </c>
      <c r="BF30" s="4">
        <f t="shared" si="60"/>
        <v>0</v>
      </c>
      <c r="BG30" s="4">
        <f t="shared" si="60"/>
        <v>0</v>
      </c>
      <c r="BH30" s="4">
        <f t="shared" si="60"/>
        <v>0</v>
      </c>
      <c r="BI30" s="4">
        <f t="shared" si="60"/>
        <v>0</v>
      </c>
      <c r="BJ30" s="4">
        <f t="shared" si="60"/>
        <v>0</v>
      </c>
      <c r="BK30" s="4">
        <f t="shared" si="60"/>
        <v>0</v>
      </c>
      <c r="BL30" s="4">
        <f t="shared" si="60"/>
        <v>0</v>
      </c>
      <c r="BM30" s="4">
        <f t="shared" si="60"/>
        <v>0</v>
      </c>
      <c r="BN30" s="4">
        <f t="shared" si="60"/>
        <v>0</v>
      </c>
      <c r="BO30" s="4">
        <f t="shared" si="60"/>
        <v>0</v>
      </c>
      <c r="BP30" s="4">
        <f t="shared" si="60"/>
        <v>0</v>
      </c>
      <c r="BQ30" s="4">
        <f t="shared" si="60"/>
        <v>0</v>
      </c>
      <c r="BR30" s="4">
        <f t="shared" si="60"/>
        <v>1</v>
      </c>
      <c r="BS30" s="4">
        <f t="shared" si="60"/>
        <v>1</v>
      </c>
      <c r="BT30" s="4">
        <f t="shared" si="60"/>
        <v>0</v>
      </c>
      <c r="BU30" s="4">
        <f t="shared" si="60"/>
        <v>0</v>
      </c>
      <c r="BV30" s="4">
        <f t="shared" si="60"/>
        <v>0</v>
      </c>
      <c r="BW30" s="4">
        <f t="shared" si="60"/>
        <v>0</v>
      </c>
      <c r="BX30" s="4">
        <f t="shared" si="60"/>
        <v>0</v>
      </c>
      <c r="BY30" s="4">
        <f t="shared" si="60"/>
        <v>0</v>
      </c>
    </row>
    <row r="31">
      <c r="A31" s="1" t="s">
        <v>104</v>
      </c>
      <c r="B31" s="1" t="s">
        <v>75</v>
      </c>
      <c r="C31" s="1" t="s">
        <v>105</v>
      </c>
      <c r="D31" s="1">
        <v>1458940.0</v>
      </c>
      <c r="E31" s="1">
        <v>1730620.0</v>
      </c>
      <c r="F31" s="1">
        <v>1685380.0</v>
      </c>
      <c r="G31" s="1">
        <v>1018770.0</v>
      </c>
      <c r="H31" s="1">
        <v>1170820.0</v>
      </c>
      <c r="I31" s="1">
        <v>881590.0</v>
      </c>
      <c r="J31" s="1">
        <v>829720.0</v>
      </c>
      <c r="K31" s="1">
        <v>912560.0</v>
      </c>
      <c r="L31" s="1">
        <v>850230.0</v>
      </c>
      <c r="M31" s="1">
        <v>859680.0</v>
      </c>
      <c r="N31" s="1">
        <v>920430.0</v>
      </c>
      <c r="O31" s="1">
        <v>908610.0</v>
      </c>
      <c r="P31" s="1">
        <v>941230.0</v>
      </c>
      <c r="Q31" s="1">
        <v>1082870.0</v>
      </c>
      <c r="R31" s="1">
        <v>924950.0</v>
      </c>
      <c r="S31" s="1">
        <v>930740.0</v>
      </c>
      <c r="T31" s="1">
        <v>804530.0</v>
      </c>
      <c r="U31" s="1">
        <v>828840.0</v>
      </c>
      <c r="V31" s="1">
        <v>812660.0</v>
      </c>
      <c r="W31" s="1">
        <v>865410.0</v>
      </c>
      <c r="X31" s="1">
        <v>894870.0</v>
      </c>
      <c r="Y31" s="1">
        <v>888280.0</v>
      </c>
      <c r="Z31" s="1">
        <v>892190.0</v>
      </c>
      <c r="AA31" s="1">
        <v>901370.0</v>
      </c>
      <c r="AB31" s="3">
        <f t="shared" si="3"/>
        <v>999803.75</v>
      </c>
      <c r="AC31" s="4">
        <f t="shared" si="4"/>
        <v>258551.5426</v>
      </c>
      <c r="AD31" s="4">
        <f t="shared" ref="AD31:BA31" si="61">(D31-$AB31)/$AC31</f>
        <v>1.775801627</v>
      </c>
      <c r="AE31" s="4">
        <f t="shared" si="61"/>
        <v>2.826578572</v>
      </c>
      <c r="AF31" s="4">
        <f t="shared" si="61"/>
        <v>2.651603789</v>
      </c>
      <c r="AG31" s="4">
        <f t="shared" si="61"/>
        <v>0.0733557797</v>
      </c>
      <c r="AH31" s="4">
        <f t="shared" si="61"/>
        <v>0.6614396815</v>
      </c>
      <c r="AI31" s="4">
        <f t="shared" si="61"/>
        <v>-0.4572154117</v>
      </c>
      <c r="AJ31" s="4">
        <f t="shared" si="61"/>
        <v>-0.6578330506</v>
      </c>
      <c r="AK31" s="4">
        <f t="shared" si="61"/>
        <v>-0.3374327189</v>
      </c>
      <c r="AL31" s="4">
        <f t="shared" si="61"/>
        <v>-0.5785065078</v>
      </c>
      <c r="AM31" s="4">
        <f t="shared" si="61"/>
        <v>-0.5419567356</v>
      </c>
      <c r="AN31" s="4">
        <f t="shared" si="61"/>
        <v>-0.3069939139</v>
      </c>
      <c r="AO31" s="4">
        <f t="shared" si="61"/>
        <v>-0.352710137</v>
      </c>
      <c r="AP31" s="4">
        <f t="shared" si="61"/>
        <v>-0.2265457379</v>
      </c>
      <c r="AQ31" s="4">
        <f t="shared" si="61"/>
        <v>0.321275399</v>
      </c>
      <c r="AR31" s="4">
        <f t="shared" si="61"/>
        <v>-0.2895119064</v>
      </c>
      <c r="AS31" s="4">
        <f t="shared" si="61"/>
        <v>-0.2671179189</v>
      </c>
      <c r="AT31" s="4">
        <f t="shared" si="61"/>
        <v>-0.7552604329</v>
      </c>
      <c r="AU31" s="4">
        <f t="shared" si="61"/>
        <v>-0.6612366273</v>
      </c>
      <c r="AV31" s="4">
        <f t="shared" si="61"/>
        <v>-0.7238160257</v>
      </c>
      <c r="AW31" s="4">
        <f t="shared" si="61"/>
        <v>-0.5197948102</v>
      </c>
      <c r="AX31" s="4">
        <f t="shared" si="61"/>
        <v>-0.4058523455</v>
      </c>
      <c r="AY31" s="4">
        <f t="shared" si="61"/>
        <v>-0.4313404936</v>
      </c>
      <c r="AZ31" s="4">
        <f t="shared" si="61"/>
        <v>-0.4162177836</v>
      </c>
      <c r="BA31" s="4">
        <f t="shared" si="61"/>
        <v>-0.3807122905</v>
      </c>
      <c r="BB31" s="4">
        <f t="shared" ref="BB31:BY31" si="62">IF(AD31&gt;=1,1,0)
</f>
        <v>1</v>
      </c>
      <c r="BC31" s="4">
        <f t="shared" si="62"/>
        <v>1</v>
      </c>
      <c r="BD31" s="4">
        <f t="shared" si="62"/>
        <v>1</v>
      </c>
      <c r="BE31" s="4">
        <f t="shared" si="62"/>
        <v>0</v>
      </c>
      <c r="BF31" s="4">
        <f t="shared" si="62"/>
        <v>0</v>
      </c>
      <c r="BG31" s="4">
        <f t="shared" si="62"/>
        <v>0</v>
      </c>
      <c r="BH31" s="4">
        <f t="shared" si="62"/>
        <v>0</v>
      </c>
      <c r="BI31" s="4">
        <f t="shared" si="62"/>
        <v>0</v>
      </c>
      <c r="BJ31" s="4">
        <f t="shared" si="62"/>
        <v>0</v>
      </c>
      <c r="BK31" s="4">
        <f t="shared" si="62"/>
        <v>0</v>
      </c>
      <c r="BL31" s="4">
        <f t="shared" si="62"/>
        <v>0</v>
      </c>
      <c r="BM31" s="4">
        <f t="shared" si="62"/>
        <v>0</v>
      </c>
      <c r="BN31" s="4">
        <f t="shared" si="62"/>
        <v>0</v>
      </c>
      <c r="BO31" s="4">
        <f t="shared" si="62"/>
        <v>0</v>
      </c>
      <c r="BP31" s="4">
        <f t="shared" si="62"/>
        <v>0</v>
      </c>
      <c r="BQ31" s="4">
        <f t="shared" si="62"/>
        <v>0</v>
      </c>
      <c r="BR31" s="4">
        <f t="shared" si="62"/>
        <v>0</v>
      </c>
      <c r="BS31" s="4">
        <f t="shared" si="62"/>
        <v>0</v>
      </c>
      <c r="BT31" s="4">
        <f t="shared" si="62"/>
        <v>0</v>
      </c>
      <c r="BU31" s="4">
        <f t="shared" si="62"/>
        <v>0</v>
      </c>
      <c r="BV31" s="4">
        <f t="shared" si="62"/>
        <v>0</v>
      </c>
      <c r="BW31" s="4">
        <f t="shared" si="62"/>
        <v>0</v>
      </c>
      <c r="BX31" s="4">
        <f t="shared" si="62"/>
        <v>0</v>
      </c>
      <c r="BY31" s="4">
        <f t="shared" si="62"/>
        <v>0</v>
      </c>
    </row>
    <row r="32">
      <c r="A32" s="1" t="s">
        <v>106</v>
      </c>
      <c r="B32" s="1" t="s">
        <v>69</v>
      </c>
      <c r="C32" s="1" t="s">
        <v>70</v>
      </c>
      <c r="D32" s="1">
        <v>8778350.0</v>
      </c>
      <c r="E32" s="1">
        <v>1.035437E7</v>
      </c>
      <c r="F32" s="1">
        <v>8891490.0</v>
      </c>
      <c r="G32" s="1">
        <v>8793930.0</v>
      </c>
      <c r="H32" s="1">
        <v>8524160.0</v>
      </c>
      <c r="I32" s="1">
        <v>8861150.0</v>
      </c>
      <c r="J32" s="1">
        <v>8898630.0</v>
      </c>
      <c r="K32" s="1">
        <v>1.058507E7</v>
      </c>
      <c r="L32" s="1">
        <v>9397380.0</v>
      </c>
      <c r="M32" s="1">
        <v>8670530.0</v>
      </c>
      <c r="N32" s="1">
        <v>8613800.0</v>
      </c>
      <c r="O32" s="1">
        <v>8392870.0</v>
      </c>
      <c r="P32" s="1">
        <v>8510030.0</v>
      </c>
      <c r="Q32" s="1">
        <v>1.074552E7</v>
      </c>
      <c r="R32" s="1">
        <v>8872590.0</v>
      </c>
      <c r="S32" s="1">
        <v>9739130.0</v>
      </c>
      <c r="T32" s="1">
        <v>8686340.0</v>
      </c>
      <c r="U32" s="1">
        <v>9390460.0</v>
      </c>
      <c r="V32" s="1">
        <v>1.290674E7</v>
      </c>
      <c r="W32" s="1">
        <v>9501370.0</v>
      </c>
      <c r="X32" s="1">
        <v>9148480.0</v>
      </c>
      <c r="Y32" s="1">
        <v>8966190.0</v>
      </c>
      <c r="Z32" s="1">
        <v>8329750.0</v>
      </c>
      <c r="AA32" s="1">
        <v>8198650.0</v>
      </c>
      <c r="AB32" s="3">
        <f t="shared" si="3"/>
        <v>9239874.167</v>
      </c>
      <c r="AC32" s="4">
        <f t="shared" si="4"/>
        <v>1039193.962</v>
      </c>
      <c r="AD32" s="4">
        <f t="shared" ref="AD32:BA32" si="63">(D32-$AB32)/$AC32</f>
        <v>-0.4441174443</v>
      </c>
      <c r="AE32" s="4">
        <f t="shared" si="63"/>
        <v>1.072461806</v>
      </c>
      <c r="AF32" s="4">
        <f t="shared" si="63"/>
        <v>-0.3352446024</v>
      </c>
      <c r="AG32" s="4">
        <f t="shared" si="63"/>
        <v>-0.4291250555</v>
      </c>
      <c r="AH32" s="4">
        <f t="shared" si="63"/>
        <v>-0.6887204821</v>
      </c>
      <c r="AI32" s="4">
        <f t="shared" si="63"/>
        <v>-0.364440307</v>
      </c>
      <c r="AJ32" s="4">
        <f t="shared" si="63"/>
        <v>-0.3283738927</v>
      </c>
      <c r="AK32" s="4">
        <f t="shared" si="63"/>
        <v>1.294460786</v>
      </c>
      <c r="AL32" s="4">
        <f t="shared" si="63"/>
        <v>0.1515653853</v>
      </c>
      <c r="AM32" s="4">
        <f t="shared" si="63"/>
        <v>-0.547870934</v>
      </c>
      <c r="AN32" s="4">
        <f t="shared" si="63"/>
        <v>-0.6024613204</v>
      </c>
      <c r="AO32" s="4">
        <f t="shared" si="63"/>
        <v>-0.8150587835</v>
      </c>
      <c r="AP32" s="4">
        <f t="shared" si="63"/>
        <v>-0.7023175588</v>
      </c>
      <c r="AQ32" s="4">
        <f t="shared" si="63"/>
        <v>1.448859297</v>
      </c>
      <c r="AR32" s="4">
        <f t="shared" si="63"/>
        <v>-0.353431775</v>
      </c>
      <c r="AS32" s="4">
        <f t="shared" si="63"/>
        <v>0.4804260335</v>
      </c>
      <c r="AT32" s="4">
        <f t="shared" si="63"/>
        <v>-0.5326572197</v>
      </c>
      <c r="AU32" s="4">
        <f t="shared" si="63"/>
        <v>0.1449063782</v>
      </c>
      <c r="AV32" s="4">
        <f t="shared" si="63"/>
        <v>3.5285673</v>
      </c>
      <c r="AW32" s="4">
        <f t="shared" si="63"/>
        <v>0.2516333262</v>
      </c>
      <c r="AX32" s="4">
        <f t="shared" si="63"/>
        <v>-0.08794716866</v>
      </c>
      <c r="AY32" s="4">
        <f t="shared" si="63"/>
        <v>-0.2633619677</v>
      </c>
      <c r="AZ32" s="4">
        <f t="shared" si="63"/>
        <v>-0.8757981664</v>
      </c>
      <c r="BA32" s="4">
        <f t="shared" si="63"/>
        <v>-1.001953634</v>
      </c>
      <c r="BB32" s="4">
        <f t="shared" ref="BB32:BY32" si="64">IF(AD32&gt;=1,1,0)
</f>
        <v>0</v>
      </c>
      <c r="BC32" s="4">
        <f t="shared" si="64"/>
        <v>1</v>
      </c>
      <c r="BD32" s="4">
        <f t="shared" si="64"/>
        <v>0</v>
      </c>
      <c r="BE32" s="4">
        <f t="shared" si="64"/>
        <v>0</v>
      </c>
      <c r="BF32" s="4">
        <f t="shared" si="64"/>
        <v>0</v>
      </c>
      <c r="BG32" s="4">
        <f t="shared" si="64"/>
        <v>0</v>
      </c>
      <c r="BH32" s="4">
        <f t="shared" si="64"/>
        <v>0</v>
      </c>
      <c r="BI32" s="4">
        <f t="shared" si="64"/>
        <v>1</v>
      </c>
      <c r="BJ32" s="4">
        <f t="shared" si="64"/>
        <v>0</v>
      </c>
      <c r="BK32" s="4">
        <f t="shared" si="64"/>
        <v>0</v>
      </c>
      <c r="BL32" s="4">
        <f t="shared" si="64"/>
        <v>0</v>
      </c>
      <c r="BM32" s="4">
        <f t="shared" si="64"/>
        <v>0</v>
      </c>
      <c r="BN32" s="4">
        <f t="shared" si="64"/>
        <v>0</v>
      </c>
      <c r="BO32" s="4">
        <f t="shared" si="64"/>
        <v>1</v>
      </c>
      <c r="BP32" s="4">
        <f t="shared" si="64"/>
        <v>0</v>
      </c>
      <c r="BQ32" s="4">
        <f t="shared" si="64"/>
        <v>0</v>
      </c>
      <c r="BR32" s="4">
        <f t="shared" si="64"/>
        <v>0</v>
      </c>
      <c r="BS32" s="4">
        <f t="shared" si="64"/>
        <v>0</v>
      </c>
      <c r="BT32" s="4">
        <f t="shared" si="64"/>
        <v>1</v>
      </c>
      <c r="BU32" s="4">
        <f t="shared" si="64"/>
        <v>0</v>
      </c>
      <c r="BV32" s="4">
        <f t="shared" si="64"/>
        <v>0</v>
      </c>
      <c r="BW32" s="4">
        <f t="shared" si="64"/>
        <v>0</v>
      </c>
      <c r="BX32" s="4">
        <f t="shared" si="64"/>
        <v>0</v>
      </c>
      <c r="BY32" s="4">
        <f t="shared" si="64"/>
        <v>0</v>
      </c>
    </row>
    <row r="33">
      <c r="A33" s="6" t="s">
        <v>107</v>
      </c>
      <c r="B33" s="1" t="s">
        <v>108</v>
      </c>
      <c r="C33" s="1" t="s">
        <v>109</v>
      </c>
      <c r="D33" s="1">
        <v>704190.0</v>
      </c>
      <c r="E33" s="1">
        <v>699740.0</v>
      </c>
      <c r="F33" s="1">
        <v>617330.0</v>
      </c>
      <c r="G33" s="1">
        <v>1110100.0</v>
      </c>
      <c r="H33" s="1">
        <v>2150760.0</v>
      </c>
      <c r="I33" s="1">
        <v>1819800.0</v>
      </c>
      <c r="J33" s="1">
        <v>1448120.0</v>
      </c>
      <c r="K33" s="1">
        <v>1318000.0</v>
      </c>
      <c r="L33" s="1">
        <v>834030.0</v>
      </c>
      <c r="M33" s="1">
        <v>1254880.0</v>
      </c>
      <c r="N33" s="1">
        <v>1681980.0</v>
      </c>
      <c r="O33" s="1">
        <v>1263070.0</v>
      </c>
      <c r="P33" s="1">
        <v>581620.0</v>
      </c>
      <c r="Q33" s="1">
        <v>459410.0</v>
      </c>
      <c r="R33" s="1">
        <v>440500.0</v>
      </c>
      <c r="S33" s="1">
        <v>703350.0</v>
      </c>
      <c r="T33" s="1">
        <v>658270.0</v>
      </c>
      <c r="U33" s="1">
        <v>1043220.0</v>
      </c>
      <c r="V33" s="1">
        <v>1233530.0</v>
      </c>
      <c r="W33" s="1">
        <v>1024730.0</v>
      </c>
      <c r="X33" s="1">
        <v>1008940.0</v>
      </c>
      <c r="Y33" s="1">
        <v>817330.0</v>
      </c>
      <c r="Z33" s="1">
        <v>796140.0</v>
      </c>
      <c r="AA33" s="1">
        <v>701490.0</v>
      </c>
      <c r="AB33" s="3">
        <f t="shared" si="3"/>
        <v>1015438.75</v>
      </c>
      <c r="AC33" s="4">
        <f t="shared" si="4"/>
        <v>440444.3116</v>
      </c>
      <c r="AD33" s="4">
        <f t="shared" ref="AD33:BA33" si="65">(D33-$AB33)/$AC33</f>
        <v>-0.7066699281</v>
      </c>
      <c r="AE33" s="4">
        <f t="shared" si="65"/>
        <v>-0.716773362</v>
      </c>
      <c r="AF33" s="4">
        <f t="shared" si="65"/>
        <v>-0.9038798765</v>
      </c>
      <c r="AG33" s="4">
        <f t="shared" si="65"/>
        <v>0.2149221763</v>
      </c>
      <c r="AH33" s="4">
        <f t="shared" si="65"/>
        <v>2.577672637</v>
      </c>
      <c r="AI33" s="4">
        <f t="shared" si="65"/>
        <v>1.826249605</v>
      </c>
      <c r="AJ33" s="4">
        <f t="shared" si="65"/>
        <v>0.9823744764</v>
      </c>
      <c r="AK33" s="4">
        <f t="shared" si="65"/>
        <v>0.6869455276</v>
      </c>
      <c r="AL33" s="4">
        <f t="shared" si="65"/>
        <v>-0.4118767009</v>
      </c>
      <c r="AM33" s="4">
        <f t="shared" si="65"/>
        <v>0.5436356962</v>
      </c>
      <c r="AN33" s="4">
        <f t="shared" si="65"/>
        <v>1.51333831</v>
      </c>
      <c r="AO33" s="4">
        <f t="shared" si="65"/>
        <v>0.5622305555</v>
      </c>
      <c r="AP33" s="4">
        <f t="shared" si="65"/>
        <v>-0.9849570957</v>
      </c>
      <c r="AQ33" s="4">
        <f t="shared" si="65"/>
        <v>-1.262426907</v>
      </c>
      <c r="AR33" s="4">
        <f t="shared" si="65"/>
        <v>-1.305360825</v>
      </c>
      <c r="AS33" s="4">
        <f t="shared" si="65"/>
        <v>-0.7085770931</v>
      </c>
      <c r="AT33" s="4">
        <f t="shared" si="65"/>
        <v>-0.8109282844</v>
      </c>
      <c r="AU33" s="4">
        <f t="shared" si="65"/>
        <v>0.06307551095</v>
      </c>
      <c r="AV33" s="4">
        <f t="shared" si="65"/>
        <v>0.4951619178</v>
      </c>
      <c r="AW33" s="4">
        <f t="shared" si="65"/>
        <v>0.02109517538</v>
      </c>
      <c r="AX33" s="4">
        <f t="shared" si="65"/>
        <v>-0.01475498679</v>
      </c>
      <c r="AY33" s="4">
        <f t="shared" si="65"/>
        <v>-0.4497929586</v>
      </c>
      <c r="AZ33" s="4">
        <f t="shared" si="65"/>
        <v>-0.4979034675</v>
      </c>
      <c r="BA33" s="4">
        <f t="shared" si="65"/>
        <v>-0.7128001015</v>
      </c>
      <c r="BB33" s="4">
        <f t="shared" ref="BB33:BY33" si="66">IF(AD33&gt;=1,1,0)
</f>
        <v>0</v>
      </c>
      <c r="BC33" s="4">
        <f t="shared" si="66"/>
        <v>0</v>
      </c>
      <c r="BD33" s="4">
        <f t="shared" si="66"/>
        <v>0</v>
      </c>
      <c r="BE33" s="4">
        <f t="shared" si="66"/>
        <v>0</v>
      </c>
      <c r="BF33" s="4">
        <f t="shared" si="66"/>
        <v>1</v>
      </c>
      <c r="BG33" s="4">
        <f t="shared" si="66"/>
        <v>1</v>
      </c>
      <c r="BH33" s="4">
        <f t="shared" si="66"/>
        <v>0</v>
      </c>
      <c r="BI33" s="4">
        <f t="shared" si="66"/>
        <v>0</v>
      </c>
      <c r="BJ33" s="4">
        <f t="shared" si="66"/>
        <v>0</v>
      </c>
      <c r="BK33" s="4">
        <f t="shared" si="66"/>
        <v>0</v>
      </c>
      <c r="BL33" s="4">
        <f t="shared" si="66"/>
        <v>1</v>
      </c>
      <c r="BM33" s="4">
        <f t="shared" si="66"/>
        <v>0</v>
      </c>
      <c r="BN33" s="4">
        <f t="shared" si="66"/>
        <v>0</v>
      </c>
      <c r="BO33" s="4">
        <f t="shared" si="66"/>
        <v>0</v>
      </c>
      <c r="BP33" s="4">
        <f t="shared" si="66"/>
        <v>0</v>
      </c>
      <c r="BQ33" s="4">
        <f t="shared" si="66"/>
        <v>0</v>
      </c>
      <c r="BR33" s="4">
        <f t="shared" si="66"/>
        <v>0</v>
      </c>
      <c r="BS33" s="4">
        <f t="shared" si="66"/>
        <v>0</v>
      </c>
      <c r="BT33" s="4">
        <f t="shared" si="66"/>
        <v>0</v>
      </c>
      <c r="BU33" s="4">
        <f t="shared" si="66"/>
        <v>0</v>
      </c>
      <c r="BV33" s="4">
        <f t="shared" si="66"/>
        <v>0</v>
      </c>
      <c r="BW33" s="4">
        <f t="shared" si="66"/>
        <v>0</v>
      </c>
      <c r="BX33" s="4">
        <f t="shared" si="66"/>
        <v>0</v>
      </c>
      <c r="BY33" s="4">
        <f t="shared" si="66"/>
        <v>0</v>
      </c>
    </row>
    <row r="34">
      <c r="A34" s="6" t="s">
        <v>110</v>
      </c>
      <c r="B34" s="1" t="s">
        <v>108</v>
      </c>
      <c r="C34" s="1" t="s">
        <v>111</v>
      </c>
      <c r="D34" s="1">
        <v>2.066311E7</v>
      </c>
      <c r="E34" s="1">
        <v>2.293629E7</v>
      </c>
      <c r="F34" s="1">
        <v>1.914881E7</v>
      </c>
      <c r="G34" s="1">
        <v>1.948012E7</v>
      </c>
      <c r="H34" s="1">
        <v>1.604E7</v>
      </c>
      <c r="I34" s="1">
        <v>1.616882E7</v>
      </c>
      <c r="J34" s="1">
        <v>1.817962E7</v>
      </c>
      <c r="K34" s="1">
        <v>1.998456E7</v>
      </c>
      <c r="L34" s="1">
        <v>1.800664E7</v>
      </c>
      <c r="M34" s="1">
        <v>1.521687E7</v>
      </c>
      <c r="N34" s="1">
        <v>1.679099E7</v>
      </c>
      <c r="O34" s="1">
        <v>1.70835E7</v>
      </c>
      <c r="P34" s="1">
        <v>1.664817E7</v>
      </c>
      <c r="Q34" s="1">
        <v>1.63109E7</v>
      </c>
      <c r="R34" s="1">
        <v>1.37768E7</v>
      </c>
      <c r="S34" s="1">
        <v>1.649127E7</v>
      </c>
      <c r="T34" s="1">
        <v>1.814237E7</v>
      </c>
      <c r="U34" s="1">
        <v>1.78648E7</v>
      </c>
      <c r="V34" s="1">
        <v>1.538422E7</v>
      </c>
      <c r="W34" s="1">
        <v>2.027951E7</v>
      </c>
      <c r="X34" s="1">
        <v>2.014515E7</v>
      </c>
      <c r="Y34" s="1">
        <v>2.167372E7</v>
      </c>
      <c r="Z34" s="1">
        <v>3.066009E7</v>
      </c>
      <c r="AA34" s="1">
        <v>3.498942E7</v>
      </c>
      <c r="AB34" s="3">
        <f t="shared" si="3"/>
        <v>19252739.58</v>
      </c>
      <c r="AC34" s="4">
        <f t="shared" si="4"/>
        <v>4765836.479</v>
      </c>
      <c r="AD34" s="4">
        <f t="shared" ref="AD34:BA34" si="67">(D34-$AB34)/$AC34</f>
        <v>0.2959334469</v>
      </c>
      <c r="AE34" s="4">
        <f t="shared" si="67"/>
        <v>0.7729074282</v>
      </c>
      <c r="AF34" s="4">
        <f t="shared" si="67"/>
        <v>-0.02180720715</v>
      </c>
      <c r="AG34" s="4">
        <f t="shared" si="67"/>
        <v>0.04771049482</v>
      </c>
      <c r="AH34" s="4">
        <f t="shared" si="67"/>
        <v>-0.6741187192</v>
      </c>
      <c r="AI34" s="4">
        <f t="shared" si="67"/>
        <v>-0.6470888367</v>
      </c>
      <c r="AJ34" s="4">
        <f t="shared" si="67"/>
        <v>-0.2251691991</v>
      </c>
      <c r="AK34" s="4">
        <f t="shared" si="67"/>
        <v>0.1535555028</v>
      </c>
      <c r="AL34" s="4">
        <f t="shared" si="67"/>
        <v>-0.2614650311</v>
      </c>
      <c r="AM34" s="4">
        <f t="shared" si="67"/>
        <v>-0.8468334155</v>
      </c>
      <c r="AN34" s="4">
        <f t="shared" si="67"/>
        <v>-0.516540925</v>
      </c>
      <c r="AO34" s="4">
        <f t="shared" si="67"/>
        <v>-0.4551645011</v>
      </c>
      <c r="AP34" s="4">
        <f t="shared" si="67"/>
        <v>-0.546508382</v>
      </c>
      <c r="AQ34" s="4">
        <f t="shared" si="67"/>
        <v>-0.6172766514</v>
      </c>
      <c r="AR34" s="4">
        <f t="shared" si="67"/>
        <v>-1.14899863</v>
      </c>
      <c r="AS34" s="4">
        <f t="shared" si="67"/>
        <v>-0.5794301998</v>
      </c>
      <c r="AT34" s="4">
        <f t="shared" si="67"/>
        <v>-0.2329852457</v>
      </c>
      <c r="AU34" s="4">
        <f t="shared" si="67"/>
        <v>-0.2912268579</v>
      </c>
      <c r="AV34" s="4">
        <f t="shared" si="67"/>
        <v>-0.8117189081</v>
      </c>
      <c r="AW34" s="4">
        <f t="shared" si="67"/>
        <v>0.2154439039</v>
      </c>
      <c r="AX34" s="4">
        <f t="shared" si="67"/>
        <v>0.1872515812</v>
      </c>
      <c r="AY34" s="4">
        <f t="shared" si="67"/>
        <v>0.5079864631</v>
      </c>
      <c r="AZ34" s="4">
        <f t="shared" si="67"/>
        <v>2.393567313</v>
      </c>
      <c r="BA34" s="4">
        <f t="shared" si="67"/>
        <v>3.301976575</v>
      </c>
      <c r="BB34" s="4">
        <f t="shared" ref="BB34:BY34" si="68">IF(AD34&gt;=1,1,0)
</f>
        <v>0</v>
      </c>
      <c r="BC34" s="4">
        <f t="shared" si="68"/>
        <v>0</v>
      </c>
      <c r="BD34" s="4">
        <f t="shared" si="68"/>
        <v>0</v>
      </c>
      <c r="BE34" s="4">
        <f t="shared" si="68"/>
        <v>0</v>
      </c>
      <c r="BF34" s="4">
        <f t="shared" si="68"/>
        <v>0</v>
      </c>
      <c r="BG34" s="4">
        <f t="shared" si="68"/>
        <v>0</v>
      </c>
      <c r="BH34" s="4">
        <f t="shared" si="68"/>
        <v>0</v>
      </c>
      <c r="BI34" s="4">
        <f t="shared" si="68"/>
        <v>0</v>
      </c>
      <c r="BJ34" s="4">
        <f t="shared" si="68"/>
        <v>0</v>
      </c>
      <c r="BK34" s="4">
        <f t="shared" si="68"/>
        <v>0</v>
      </c>
      <c r="BL34" s="4">
        <f t="shared" si="68"/>
        <v>0</v>
      </c>
      <c r="BM34" s="4">
        <f t="shared" si="68"/>
        <v>0</v>
      </c>
      <c r="BN34" s="4">
        <f t="shared" si="68"/>
        <v>0</v>
      </c>
      <c r="BO34" s="4">
        <f t="shared" si="68"/>
        <v>0</v>
      </c>
      <c r="BP34" s="4">
        <f t="shared" si="68"/>
        <v>0</v>
      </c>
      <c r="BQ34" s="4">
        <f t="shared" si="68"/>
        <v>0</v>
      </c>
      <c r="BR34" s="4">
        <f t="shared" si="68"/>
        <v>0</v>
      </c>
      <c r="BS34" s="4">
        <f t="shared" si="68"/>
        <v>0</v>
      </c>
      <c r="BT34" s="4">
        <f t="shared" si="68"/>
        <v>0</v>
      </c>
      <c r="BU34" s="4">
        <f t="shared" si="68"/>
        <v>0</v>
      </c>
      <c r="BV34" s="4">
        <f t="shared" si="68"/>
        <v>0</v>
      </c>
      <c r="BW34" s="4">
        <f t="shared" si="68"/>
        <v>0</v>
      </c>
      <c r="BX34" s="4">
        <f t="shared" si="68"/>
        <v>1</v>
      </c>
      <c r="BY34" s="4">
        <f t="shared" si="68"/>
        <v>1</v>
      </c>
    </row>
    <row r="35">
      <c r="A35" s="6" t="s">
        <v>112</v>
      </c>
      <c r="B35" s="1" t="s">
        <v>75</v>
      </c>
      <c r="C35" s="1" t="s">
        <v>76</v>
      </c>
      <c r="D35" s="1">
        <v>10360.0</v>
      </c>
      <c r="E35" s="1">
        <v>36080.0</v>
      </c>
      <c r="F35" s="1">
        <v>243350.0</v>
      </c>
      <c r="G35" s="1">
        <v>452150.0</v>
      </c>
      <c r="H35" s="1">
        <v>450890.0</v>
      </c>
      <c r="I35" s="1">
        <v>376700.0</v>
      </c>
      <c r="J35" s="1">
        <v>379700.0</v>
      </c>
      <c r="K35" s="1">
        <v>472000.0</v>
      </c>
      <c r="L35" s="1">
        <v>398600.0</v>
      </c>
      <c r="M35" s="1">
        <v>387860.0</v>
      </c>
      <c r="N35" s="1">
        <v>319690.0</v>
      </c>
      <c r="O35" s="1">
        <v>317950.0</v>
      </c>
      <c r="P35" s="1">
        <v>265940.0</v>
      </c>
      <c r="Q35" s="1">
        <v>274010.0</v>
      </c>
      <c r="R35" s="1">
        <v>373780.0</v>
      </c>
      <c r="S35" s="1">
        <v>608710.0</v>
      </c>
      <c r="T35" s="1">
        <v>490010.0</v>
      </c>
      <c r="U35" s="1">
        <v>683610.0</v>
      </c>
      <c r="V35" s="1">
        <v>489750.0</v>
      </c>
      <c r="W35" s="1">
        <v>480590.0</v>
      </c>
      <c r="X35" s="1">
        <v>415540.0</v>
      </c>
      <c r="Y35" s="1">
        <v>213340.0</v>
      </c>
      <c r="Z35" s="1">
        <v>218160.0</v>
      </c>
      <c r="AA35" s="1">
        <v>247940.0</v>
      </c>
      <c r="AB35" s="3">
        <f t="shared" si="3"/>
        <v>358612.9167</v>
      </c>
      <c r="AC35" s="4">
        <f t="shared" si="4"/>
        <v>156721.4658</v>
      </c>
      <c r="AD35" s="4">
        <f t="shared" ref="AD35:BA35" si="69">(D35-$AB35)/$AC35</f>
        <v>-2.222113702</v>
      </c>
      <c r="AE35" s="4">
        <f t="shared" si="69"/>
        <v>-2.058000893</v>
      </c>
      <c r="AF35" s="4">
        <f t="shared" si="69"/>
        <v>-0.7354634928</v>
      </c>
      <c r="AG35" s="4">
        <f t="shared" si="69"/>
        <v>0.5968364501</v>
      </c>
      <c r="AH35" s="4">
        <f t="shared" si="69"/>
        <v>0.5887967091</v>
      </c>
      <c r="AI35" s="4">
        <f t="shared" si="69"/>
        <v>0.1154091001</v>
      </c>
      <c r="AJ35" s="4">
        <f t="shared" si="69"/>
        <v>0.1345513406</v>
      </c>
      <c r="AK35" s="4">
        <f t="shared" si="69"/>
        <v>0.7234942752</v>
      </c>
      <c r="AL35" s="4">
        <f t="shared" si="69"/>
        <v>0.2551474561</v>
      </c>
      <c r="AM35" s="4">
        <f t="shared" si="69"/>
        <v>0.1866182349</v>
      </c>
      <c r="AN35" s="4">
        <f t="shared" si="69"/>
        <v>-0.248357278</v>
      </c>
      <c r="AO35" s="4">
        <f t="shared" si="69"/>
        <v>-0.2594597776</v>
      </c>
      <c r="AP35" s="4">
        <f t="shared" si="69"/>
        <v>-0.5913224214</v>
      </c>
      <c r="AQ35" s="4">
        <f t="shared" si="69"/>
        <v>-0.5398297943</v>
      </c>
      <c r="AR35" s="4">
        <f t="shared" si="69"/>
        <v>0.09677731925</v>
      </c>
      <c r="AS35" s="4">
        <f t="shared" si="69"/>
        <v>1.595806177</v>
      </c>
      <c r="AT35" s="4">
        <f t="shared" si="69"/>
        <v>0.838411526</v>
      </c>
      <c r="AU35" s="4">
        <f t="shared" si="69"/>
        <v>2.073724117</v>
      </c>
      <c r="AV35" s="4">
        <f t="shared" si="69"/>
        <v>0.8367525318</v>
      </c>
      <c r="AW35" s="4">
        <f t="shared" si="69"/>
        <v>0.7783048906</v>
      </c>
      <c r="AX35" s="4">
        <f t="shared" si="69"/>
        <v>0.3632373078</v>
      </c>
      <c r="AY35" s="4">
        <f t="shared" si="69"/>
        <v>-0.9269497059</v>
      </c>
      <c r="AZ35" s="4">
        <f t="shared" si="69"/>
        <v>-0.896194506</v>
      </c>
      <c r="BA35" s="4">
        <f t="shared" si="69"/>
        <v>-0.7061758647</v>
      </c>
      <c r="BB35" s="4">
        <f t="shared" ref="BB35:BY35" si="70">IF(AD35&gt;=1,1,0)
</f>
        <v>0</v>
      </c>
      <c r="BC35" s="4">
        <f t="shared" si="70"/>
        <v>0</v>
      </c>
      <c r="BD35" s="4">
        <f t="shared" si="70"/>
        <v>0</v>
      </c>
      <c r="BE35" s="4">
        <f t="shared" si="70"/>
        <v>0</v>
      </c>
      <c r="BF35" s="4">
        <f t="shared" si="70"/>
        <v>0</v>
      </c>
      <c r="BG35" s="4">
        <f t="shared" si="70"/>
        <v>0</v>
      </c>
      <c r="BH35" s="4">
        <f t="shared" si="70"/>
        <v>0</v>
      </c>
      <c r="BI35" s="4">
        <f t="shared" si="70"/>
        <v>0</v>
      </c>
      <c r="BJ35" s="4">
        <f t="shared" si="70"/>
        <v>0</v>
      </c>
      <c r="BK35" s="4">
        <f t="shared" si="70"/>
        <v>0</v>
      </c>
      <c r="BL35" s="4">
        <f t="shared" si="70"/>
        <v>0</v>
      </c>
      <c r="BM35" s="4">
        <f t="shared" si="70"/>
        <v>0</v>
      </c>
      <c r="BN35" s="4">
        <f t="shared" si="70"/>
        <v>0</v>
      </c>
      <c r="BO35" s="4">
        <f t="shared" si="70"/>
        <v>0</v>
      </c>
      <c r="BP35" s="4">
        <f t="shared" si="70"/>
        <v>0</v>
      </c>
      <c r="BQ35" s="4">
        <f t="shared" si="70"/>
        <v>1</v>
      </c>
      <c r="BR35" s="4">
        <f t="shared" si="70"/>
        <v>0</v>
      </c>
      <c r="BS35" s="4">
        <f t="shared" si="70"/>
        <v>1</v>
      </c>
      <c r="BT35" s="4">
        <f t="shared" si="70"/>
        <v>0</v>
      </c>
      <c r="BU35" s="4">
        <f t="shared" si="70"/>
        <v>0</v>
      </c>
      <c r="BV35" s="4">
        <f t="shared" si="70"/>
        <v>0</v>
      </c>
      <c r="BW35" s="4">
        <f t="shared" si="70"/>
        <v>0</v>
      </c>
      <c r="BX35" s="4">
        <f t="shared" si="70"/>
        <v>0</v>
      </c>
      <c r="BY35" s="4">
        <f t="shared" si="70"/>
        <v>0</v>
      </c>
    </row>
    <row r="36">
      <c r="A36" s="6" t="s">
        <v>113</v>
      </c>
      <c r="B36" s="1" t="s">
        <v>69</v>
      </c>
      <c r="C36" s="1" t="s">
        <v>114</v>
      </c>
      <c r="D36" s="1">
        <v>152680.0</v>
      </c>
      <c r="E36" s="1">
        <v>264690.0</v>
      </c>
      <c r="F36" s="1">
        <v>181240.0</v>
      </c>
      <c r="G36" s="1">
        <v>155610.0</v>
      </c>
      <c r="H36" s="1">
        <v>135250.0</v>
      </c>
      <c r="I36" s="1">
        <v>162180.0</v>
      </c>
      <c r="J36" s="1">
        <v>163790.0</v>
      </c>
      <c r="K36" s="1">
        <v>163900.0</v>
      </c>
      <c r="L36" s="1">
        <v>194520.0</v>
      </c>
      <c r="M36" s="1">
        <v>162320.0</v>
      </c>
      <c r="N36" s="1">
        <v>162640.0</v>
      </c>
      <c r="O36" s="1">
        <v>196580.0</v>
      </c>
      <c r="P36" s="1">
        <v>247600.0</v>
      </c>
      <c r="Q36" s="1">
        <v>305500.0</v>
      </c>
      <c r="R36" s="1">
        <v>1420600.0</v>
      </c>
      <c r="S36" s="1">
        <v>2086980.0</v>
      </c>
      <c r="T36" s="1">
        <v>1518430.0</v>
      </c>
      <c r="U36" s="1">
        <v>554430.0</v>
      </c>
      <c r="V36" s="1">
        <v>368910.0</v>
      </c>
      <c r="W36" s="1">
        <v>366270.0</v>
      </c>
      <c r="X36" s="1">
        <v>302220.0</v>
      </c>
      <c r="Y36" s="1">
        <v>248360.0</v>
      </c>
      <c r="Z36" s="1">
        <v>229920.0</v>
      </c>
      <c r="AA36" s="1">
        <v>229500.0</v>
      </c>
      <c r="AB36" s="3">
        <f t="shared" si="3"/>
        <v>415588.3333</v>
      </c>
      <c r="AC36" s="4">
        <f t="shared" si="4"/>
        <v>506605.1805</v>
      </c>
      <c r="AD36" s="4">
        <f t="shared" ref="AD36:BA36" si="71">(D36-$AB36)/$AC36</f>
        <v>-0.5189610045</v>
      </c>
      <c r="AE36" s="4">
        <f t="shared" si="71"/>
        <v>-0.2978618047</v>
      </c>
      <c r="AF36" s="4">
        <f t="shared" si="71"/>
        <v>-0.462585742</v>
      </c>
      <c r="AG36" s="4">
        <f t="shared" si="71"/>
        <v>-0.5131774079</v>
      </c>
      <c r="AH36" s="4">
        <f t="shared" si="71"/>
        <v>-0.5533664955</v>
      </c>
      <c r="AI36" s="4">
        <f t="shared" si="71"/>
        <v>-0.5002087288</v>
      </c>
      <c r="AJ36" s="4">
        <f t="shared" si="71"/>
        <v>-0.4970307116</v>
      </c>
      <c r="AK36" s="4">
        <f t="shared" si="71"/>
        <v>-0.49681358</v>
      </c>
      <c r="AL36" s="4">
        <f t="shared" si="71"/>
        <v>-0.4363720346</v>
      </c>
      <c r="AM36" s="4">
        <f t="shared" si="71"/>
        <v>-0.4999323795</v>
      </c>
      <c r="AN36" s="4">
        <f t="shared" si="71"/>
        <v>-0.4993007239</v>
      </c>
      <c r="AO36" s="4">
        <f t="shared" si="71"/>
        <v>-0.4323057516</v>
      </c>
      <c r="AP36" s="4">
        <f t="shared" si="71"/>
        <v>-0.3315961617</v>
      </c>
      <c r="AQ36" s="4">
        <f t="shared" si="71"/>
        <v>-0.2173059763</v>
      </c>
      <c r="AR36" s="4">
        <f t="shared" si="71"/>
        <v>1.983816403</v>
      </c>
      <c r="AS36" s="4">
        <f t="shared" si="71"/>
        <v>3.299199714</v>
      </c>
      <c r="AT36" s="4">
        <f t="shared" si="71"/>
        <v>2.176925364</v>
      </c>
      <c r="AU36" s="4">
        <f t="shared" si="71"/>
        <v>0.274062864</v>
      </c>
      <c r="AV36" s="4">
        <f t="shared" si="71"/>
        <v>-0.092139471</v>
      </c>
      <c r="AW36" s="4">
        <f t="shared" si="71"/>
        <v>-0.09735062971</v>
      </c>
      <c r="AX36" s="4">
        <f t="shared" si="71"/>
        <v>-0.2237804462</v>
      </c>
      <c r="AY36" s="4">
        <f t="shared" si="71"/>
        <v>-0.3300959796</v>
      </c>
      <c r="AZ36" s="4">
        <f t="shared" si="71"/>
        <v>-0.3664951337</v>
      </c>
      <c r="BA36" s="4">
        <f t="shared" si="71"/>
        <v>-0.3673241816</v>
      </c>
      <c r="BB36" s="4">
        <f t="shared" ref="BB36:BY36" si="72">IF(AD36&gt;=1,1,0)
</f>
        <v>0</v>
      </c>
      <c r="BC36" s="4">
        <f t="shared" si="72"/>
        <v>0</v>
      </c>
      <c r="BD36" s="4">
        <f t="shared" si="72"/>
        <v>0</v>
      </c>
      <c r="BE36" s="4">
        <f t="shared" si="72"/>
        <v>0</v>
      </c>
      <c r="BF36" s="4">
        <f t="shared" si="72"/>
        <v>0</v>
      </c>
      <c r="BG36" s="4">
        <f t="shared" si="72"/>
        <v>0</v>
      </c>
      <c r="BH36" s="4">
        <f t="shared" si="72"/>
        <v>0</v>
      </c>
      <c r="BI36" s="4">
        <f t="shared" si="72"/>
        <v>0</v>
      </c>
      <c r="BJ36" s="4">
        <f t="shared" si="72"/>
        <v>0</v>
      </c>
      <c r="BK36" s="4">
        <f t="shared" si="72"/>
        <v>0</v>
      </c>
      <c r="BL36" s="4">
        <f t="shared" si="72"/>
        <v>0</v>
      </c>
      <c r="BM36" s="4">
        <f t="shared" si="72"/>
        <v>0</v>
      </c>
      <c r="BN36" s="4">
        <f t="shared" si="72"/>
        <v>0</v>
      </c>
      <c r="BO36" s="4">
        <f t="shared" si="72"/>
        <v>0</v>
      </c>
      <c r="BP36" s="4">
        <f t="shared" si="72"/>
        <v>1</v>
      </c>
      <c r="BQ36" s="4">
        <f t="shared" si="72"/>
        <v>1</v>
      </c>
      <c r="BR36" s="4">
        <f t="shared" si="72"/>
        <v>1</v>
      </c>
      <c r="BS36" s="4">
        <f t="shared" si="72"/>
        <v>0</v>
      </c>
      <c r="BT36" s="4">
        <f t="shared" si="72"/>
        <v>0</v>
      </c>
      <c r="BU36" s="4">
        <f t="shared" si="72"/>
        <v>0</v>
      </c>
      <c r="BV36" s="4">
        <f t="shared" si="72"/>
        <v>0</v>
      </c>
      <c r="BW36" s="4">
        <f t="shared" si="72"/>
        <v>0</v>
      </c>
      <c r="BX36" s="4">
        <f t="shared" si="72"/>
        <v>0</v>
      </c>
      <c r="BY36" s="4">
        <f t="shared" si="72"/>
        <v>0</v>
      </c>
    </row>
    <row r="37">
      <c r="A37" s="1" t="s">
        <v>115</v>
      </c>
      <c r="B37" s="1" t="s">
        <v>63</v>
      </c>
      <c r="C37" s="1" t="s">
        <v>64</v>
      </c>
      <c r="D37" s="1">
        <v>1.627633E7</v>
      </c>
      <c r="E37" s="1">
        <v>1.651128E7</v>
      </c>
      <c r="F37" s="1">
        <v>1.512374E7</v>
      </c>
      <c r="G37" s="1">
        <v>1.740801E7</v>
      </c>
      <c r="H37" s="1">
        <v>1.967971E7</v>
      </c>
      <c r="I37" s="1">
        <v>1.651539E7</v>
      </c>
      <c r="J37" s="1">
        <v>1.38398E7</v>
      </c>
      <c r="K37" s="1">
        <v>1.579753E7</v>
      </c>
      <c r="L37" s="1">
        <v>1.558292E7</v>
      </c>
      <c r="M37" s="1">
        <v>1.55958E7</v>
      </c>
      <c r="N37" s="1">
        <v>1.6502E7</v>
      </c>
      <c r="O37" s="1">
        <v>1.699184E7</v>
      </c>
      <c r="P37" s="1">
        <v>1.654824E7</v>
      </c>
      <c r="Q37" s="1">
        <v>1.459641E7</v>
      </c>
      <c r="R37" s="1">
        <v>1.373871E7</v>
      </c>
      <c r="S37" s="1">
        <v>1.619288E7</v>
      </c>
      <c r="T37" s="1">
        <v>1.407526E7</v>
      </c>
      <c r="U37" s="1">
        <v>1.484232E7</v>
      </c>
      <c r="V37" s="1">
        <v>1.527183E7</v>
      </c>
      <c r="W37" s="1">
        <v>1.603407E7</v>
      </c>
      <c r="X37" s="1">
        <v>1.489006E7</v>
      </c>
      <c r="Y37" s="1">
        <v>3.158376E7</v>
      </c>
      <c r="Z37" s="1">
        <v>3.943764E7</v>
      </c>
      <c r="AA37" s="1">
        <v>2.641077E7</v>
      </c>
      <c r="AB37" s="3">
        <f t="shared" si="3"/>
        <v>17893595.83</v>
      </c>
      <c r="AC37" s="4">
        <f t="shared" si="4"/>
        <v>6086005.863</v>
      </c>
      <c r="AD37" s="4">
        <f t="shared" ref="AD37:BA37" si="73">(D37-$AB37)/$AC37</f>
        <v>-0.265735175</v>
      </c>
      <c r="AE37" s="4">
        <f t="shared" si="73"/>
        <v>-0.2271302172</v>
      </c>
      <c r="AF37" s="4">
        <f t="shared" si="73"/>
        <v>-0.4551188243</v>
      </c>
      <c r="AG37" s="4">
        <f t="shared" si="73"/>
        <v>-0.07978727663</v>
      </c>
      <c r="AH37" s="4">
        <f t="shared" si="73"/>
        <v>0.2934788771</v>
      </c>
      <c r="AI37" s="4">
        <f t="shared" si="73"/>
        <v>-0.2264548974</v>
      </c>
      <c r="AJ37" s="4">
        <f t="shared" si="73"/>
        <v>-0.6660847729</v>
      </c>
      <c r="AK37" s="4">
        <f t="shared" si="73"/>
        <v>-0.3444074621</v>
      </c>
      <c r="AL37" s="4">
        <f t="shared" si="73"/>
        <v>-0.3796703265</v>
      </c>
      <c r="AM37" s="4">
        <f t="shared" si="73"/>
        <v>-0.377553996</v>
      </c>
      <c r="AN37" s="4">
        <f t="shared" si="73"/>
        <v>-0.2286550267</v>
      </c>
      <c r="AO37" s="4">
        <f t="shared" si="73"/>
        <v>-0.1481687421</v>
      </c>
      <c r="AP37" s="4">
        <f t="shared" si="73"/>
        <v>-0.2210572687</v>
      </c>
      <c r="AQ37" s="4">
        <f t="shared" si="73"/>
        <v>-0.5417651425</v>
      </c>
      <c r="AR37" s="4">
        <f t="shared" si="73"/>
        <v>-0.68269501</v>
      </c>
      <c r="AS37" s="4">
        <f t="shared" si="73"/>
        <v>-0.2794469594</v>
      </c>
      <c r="AT37" s="4">
        <f t="shared" si="73"/>
        <v>-0.6273960163</v>
      </c>
      <c r="AU37" s="4">
        <f t="shared" si="73"/>
        <v>-0.5013593319</v>
      </c>
      <c r="AV37" s="4">
        <f t="shared" si="73"/>
        <v>-0.4307859526</v>
      </c>
      <c r="AW37" s="4">
        <f t="shared" si="73"/>
        <v>-0.3055412491</v>
      </c>
      <c r="AX37" s="4">
        <f t="shared" si="73"/>
        <v>-0.4935151068</v>
      </c>
      <c r="AY37" s="4">
        <f t="shared" si="73"/>
        <v>2.249449717</v>
      </c>
      <c r="AZ37" s="4">
        <f t="shared" si="73"/>
        <v>3.53993155</v>
      </c>
      <c r="BA37" s="4">
        <f t="shared" si="73"/>
        <v>1.39946861</v>
      </c>
      <c r="BB37" s="4">
        <f t="shared" ref="BB37:BY37" si="74">IF(AD37&gt;=1,1,0)
</f>
        <v>0</v>
      </c>
      <c r="BC37" s="4">
        <f t="shared" si="74"/>
        <v>0</v>
      </c>
      <c r="BD37" s="4">
        <f t="shared" si="74"/>
        <v>0</v>
      </c>
      <c r="BE37" s="4">
        <f t="shared" si="74"/>
        <v>0</v>
      </c>
      <c r="BF37" s="4">
        <f t="shared" si="74"/>
        <v>0</v>
      </c>
      <c r="BG37" s="4">
        <f t="shared" si="74"/>
        <v>0</v>
      </c>
      <c r="BH37" s="4">
        <f t="shared" si="74"/>
        <v>0</v>
      </c>
      <c r="BI37" s="4">
        <f t="shared" si="74"/>
        <v>0</v>
      </c>
      <c r="BJ37" s="4">
        <f t="shared" si="74"/>
        <v>0</v>
      </c>
      <c r="BK37" s="4">
        <f t="shared" si="74"/>
        <v>0</v>
      </c>
      <c r="BL37" s="4">
        <f t="shared" si="74"/>
        <v>0</v>
      </c>
      <c r="BM37" s="4">
        <f t="shared" si="74"/>
        <v>0</v>
      </c>
      <c r="BN37" s="4">
        <f t="shared" si="74"/>
        <v>0</v>
      </c>
      <c r="BO37" s="4">
        <f t="shared" si="74"/>
        <v>0</v>
      </c>
      <c r="BP37" s="4">
        <f t="shared" si="74"/>
        <v>0</v>
      </c>
      <c r="BQ37" s="4">
        <f t="shared" si="74"/>
        <v>0</v>
      </c>
      <c r="BR37" s="4">
        <f t="shared" si="74"/>
        <v>0</v>
      </c>
      <c r="BS37" s="4">
        <f t="shared" si="74"/>
        <v>0</v>
      </c>
      <c r="BT37" s="4">
        <f t="shared" si="74"/>
        <v>0</v>
      </c>
      <c r="BU37" s="4">
        <f t="shared" si="74"/>
        <v>0</v>
      </c>
      <c r="BV37" s="4">
        <f t="shared" si="74"/>
        <v>0</v>
      </c>
      <c r="BW37" s="4">
        <f t="shared" si="74"/>
        <v>1</v>
      </c>
      <c r="BX37" s="4">
        <f t="shared" si="74"/>
        <v>1</v>
      </c>
      <c r="BY37" s="4">
        <f t="shared" si="74"/>
        <v>1</v>
      </c>
    </row>
    <row r="38">
      <c r="A38" s="1" t="s">
        <v>116</v>
      </c>
      <c r="B38" s="1" t="s">
        <v>63</v>
      </c>
      <c r="C38" s="1" t="s">
        <v>64</v>
      </c>
      <c r="D38" s="1">
        <v>1.315277E7</v>
      </c>
      <c r="E38" s="1">
        <v>1.281105E7</v>
      </c>
      <c r="F38" s="1">
        <v>1.104308E7</v>
      </c>
      <c r="G38" s="1">
        <v>1.12025E7</v>
      </c>
      <c r="H38" s="1">
        <v>9983830.0</v>
      </c>
      <c r="I38" s="1">
        <v>1.135377E7</v>
      </c>
      <c r="J38" s="1">
        <v>1.005432E7</v>
      </c>
      <c r="K38" s="1">
        <v>9400060.0</v>
      </c>
      <c r="L38" s="1">
        <v>9913380.0</v>
      </c>
      <c r="M38" s="1">
        <v>1.691386E7</v>
      </c>
      <c r="N38" s="1">
        <v>1.302591E7</v>
      </c>
      <c r="O38" s="1">
        <v>1.052086E7</v>
      </c>
      <c r="P38" s="1">
        <v>1.071904E7</v>
      </c>
      <c r="Q38" s="1">
        <v>1.016438E7</v>
      </c>
      <c r="R38" s="1">
        <v>9576480.0</v>
      </c>
      <c r="S38" s="1">
        <v>9714580.0</v>
      </c>
      <c r="T38" s="1">
        <v>9635180.0</v>
      </c>
      <c r="U38" s="1">
        <v>1.132618E7</v>
      </c>
      <c r="V38" s="1">
        <v>1.045387E7</v>
      </c>
      <c r="W38" s="1">
        <v>1.13168E7</v>
      </c>
      <c r="X38" s="1">
        <v>1.094202E7</v>
      </c>
      <c r="Y38" s="1">
        <v>1.193512E7</v>
      </c>
      <c r="Z38" s="1">
        <v>1.145581E7</v>
      </c>
      <c r="AA38" s="1">
        <v>1.07196E7</v>
      </c>
      <c r="AB38" s="3">
        <f t="shared" si="3"/>
        <v>11138935.42</v>
      </c>
      <c r="AC38" s="4">
        <f t="shared" si="4"/>
        <v>1622960.405</v>
      </c>
      <c r="AD38" s="4">
        <f t="shared" ref="AD38:BA38" si="75">(D38-$AB38)/$AC38</f>
        <v>1.240840243</v>
      </c>
      <c r="AE38" s="4">
        <f t="shared" si="75"/>
        <v>1.030286739</v>
      </c>
      <c r="AF38" s="4">
        <f t="shared" si="75"/>
        <v>-0.05906207961</v>
      </c>
      <c r="AG38" s="4">
        <f t="shared" si="75"/>
        <v>0.03916582507</v>
      </c>
      <c r="AH38" s="4">
        <f t="shared" si="75"/>
        <v>-0.7117274167</v>
      </c>
      <c r="AI38" s="4">
        <f t="shared" si="75"/>
        <v>0.1323720422</v>
      </c>
      <c r="AJ38" s="4">
        <f t="shared" si="75"/>
        <v>-0.6682944409</v>
      </c>
      <c r="AK38" s="4">
        <f t="shared" si="75"/>
        <v>-1.071421959</v>
      </c>
      <c r="AL38" s="4">
        <f t="shared" si="75"/>
        <v>-0.7551357462</v>
      </c>
      <c r="AM38" s="4">
        <f t="shared" si="75"/>
        <v>3.558265848</v>
      </c>
      <c r="AN38" s="4">
        <f t="shared" si="75"/>
        <v>1.162674442</v>
      </c>
      <c r="AO38" s="4">
        <f t="shared" si="75"/>
        <v>-0.3808320983</v>
      </c>
      <c r="AP38" s="4">
        <f t="shared" si="75"/>
        <v>-0.2587219105</v>
      </c>
      <c r="AQ38" s="4">
        <f t="shared" si="75"/>
        <v>-0.600480094</v>
      </c>
      <c r="AR38" s="4">
        <f t="shared" si="75"/>
        <v>-0.9627193686</v>
      </c>
      <c r="AS38" s="4">
        <f t="shared" si="75"/>
        <v>-0.877627952</v>
      </c>
      <c r="AT38" s="4">
        <f t="shared" si="75"/>
        <v>-0.9265508953</v>
      </c>
      <c r="AU38" s="4">
        <f t="shared" si="75"/>
        <v>0.1153722437</v>
      </c>
      <c r="AV38" s="4">
        <f t="shared" si="75"/>
        <v>-0.4221085212</v>
      </c>
      <c r="AW38" s="4">
        <f t="shared" si="75"/>
        <v>0.1095926818</v>
      </c>
      <c r="AX38" s="4">
        <f t="shared" si="75"/>
        <v>-0.1213310048</v>
      </c>
      <c r="AY38" s="4">
        <f t="shared" si="75"/>
        <v>0.4905754821</v>
      </c>
      <c r="AZ38" s="4">
        <f t="shared" si="75"/>
        <v>0.1952448022</v>
      </c>
      <c r="BA38" s="4">
        <f t="shared" si="75"/>
        <v>-0.258376862</v>
      </c>
      <c r="BB38" s="4">
        <f t="shared" ref="BB38:BY38" si="76">IF(AD38&gt;=1,1,0)
</f>
        <v>1</v>
      </c>
      <c r="BC38" s="4">
        <f t="shared" si="76"/>
        <v>1</v>
      </c>
      <c r="BD38" s="4">
        <f t="shared" si="76"/>
        <v>0</v>
      </c>
      <c r="BE38" s="4">
        <f t="shared" si="76"/>
        <v>0</v>
      </c>
      <c r="BF38" s="4">
        <f t="shared" si="76"/>
        <v>0</v>
      </c>
      <c r="BG38" s="4">
        <f t="shared" si="76"/>
        <v>0</v>
      </c>
      <c r="BH38" s="4">
        <f t="shared" si="76"/>
        <v>0</v>
      </c>
      <c r="BI38" s="4">
        <f t="shared" si="76"/>
        <v>0</v>
      </c>
      <c r="BJ38" s="4">
        <f t="shared" si="76"/>
        <v>0</v>
      </c>
      <c r="BK38" s="4">
        <f t="shared" si="76"/>
        <v>1</v>
      </c>
      <c r="BL38" s="4">
        <f t="shared" si="76"/>
        <v>1</v>
      </c>
      <c r="BM38" s="4">
        <f t="shared" si="76"/>
        <v>0</v>
      </c>
      <c r="BN38" s="4">
        <f t="shared" si="76"/>
        <v>0</v>
      </c>
      <c r="BO38" s="4">
        <f t="shared" si="76"/>
        <v>0</v>
      </c>
      <c r="BP38" s="4">
        <f t="shared" si="76"/>
        <v>0</v>
      </c>
      <c r="BQ38" s="4">
        <f t="shared" si="76"/>
        <v>0</v>
      </c>
      <c r="BR38" s="4">
        <f t="shared" si="76"/>
        <v>0</v>
      </c>
      <c r="BS38" s="4">
        <f t="shared" si="76"/>
        <v>0</v>
      </c>
      <c r="BT38" s="4">
        <f t="shared" si="76"/>
        <v>0</v>
      </c>
      <c r="BU38" s="4">
        <f t="shared" si="76"/>
        <v>0</v>
      </c>
      <c r="BV38" s="4">
        <f t="shared" si="76"/>
        <v>0</v>
      </c>
      <c r="BW38" s="4">
        <f t="shared" si="76"/>
        <v>0</v>
      </c>
      <c r="BX38" s="4">
        <f t="shared" si="76"/>
        <v>0</v>
      </c>
      <c r="BY38" s="4">
        <f t="shared" si="76"/>
        <v>0</v>
      </c>
    </row>
    <row r="39">
      <c r="A39" s="1" t="s">
        <v>117</v>
      </c>
      <c r="B39" s="1" t="s">
        <v>63</v>
      </c>
      <c r="C39" s="1" t="s">
        <v>64</v>
      </c>
      <c r="D39" s="1">
        <v>8.896352E7</v>
      </c>
      <c r="E39" s="1">
        <v>8.727824E7</v>
      </c>
      <c r="F39" s="1">
        <v>7.924107E7</v>
      </c>
      <c r="G39" s="1">
        <v>8.258552E7</v>
      </c>
      <c r="H39" s="1">
        <v>7.360396E7</v>
      </c>
      <c r="I39" s="1">
        <v>8.429437E7</v>
      </c>
      <c r="J39" s="1">
        <v>9.334095E7</v>
      </c>
      <c r="K39" s="1">
        <v>8.624746E7</v>
      </c>
      <c r="L39" s="1">
        <v>8.781908E7</v>
      </c>
      <c r="M39" s="1">
        <v>1.2497066E8</v>
      </c>
      <c r="N39" s="1">
        <v>1.0307753E8</v>
      </c>
      <c r="O39" s="1">
        <v>1.0033542E8</v>
      </c>
      <c r="P39" s="1">
        <v>9.671593E7</v>
      </c>
      <c r="Q39" s="1">
        <v>8.961538E7</v>
      </c>
      <c r="R39" s="1">
        <v>8.220346E7</v>
      </c>
      <c r="S39" s="1">
        <v>1.0398443E8</v>
      </c>
      <c r="T39" s="1">
        <v>9.511038E7</v>
      </c>
      <c r="U39" s="1">
        <v>8.685876E7</v>
      </c>
      <c r="V39" s="1">
        <v>7.979214E7</v>
      </c>
      <c r="W39" s="1">
        <v>8.438516E7</v>
      </c>
      <c r="X39" s="1">
        <v>9.637579E7</v>
      </c>
      <c r="Y39" s="1">
        <v>1.3089053E8</v>
      </c>
      <c r="Z39" s="1">
        <v>1.048907E8</v>
      </c>
      <c r="AA39" s="1">
        <v>1.0074695E8</v>
      </c>
      <c r="AB39" s="3">
        <f t="shared" si="3"/>
        <v>93471974.58</v>
      </c>
      <c r="AC39" s="4">
        <f t="shared" si="4"/>
        <v>13585963</v>
      </c>
      <c r="AD39" s="4">
        <f t="shared" ref="AD39:BA39" si="77">(D39-$AB39)/$AC39</f>
        <v>-0.3318465229</v>
      </c>
      <c r="AE39" s="4">
        <f t="shared" si="77"/>
        <v>-0.4558922015</v>
      </c>
      <c r="AF39" s="4">
        <f t="shared" si="77"/>
        <v>-1.047471171</v>
      </c>
      <c r="AG39" s="4">
        <f t="shared" si="77"/>
        <v>-0.8013016508</v>
      </c>
      <c r="AH39" s="4">
        <f t="shared" si="77"/>
        <v>-1.462392808</v>
      </c>
      <c r="AI39" s="4">
        <f t="shared" si="77"/>
        <v>-0.6755210934</v>
      </c>
      <c r="AJ39" s="4">
        <f t="shared" si="77"/>
        <v>-0.009644114539</v>
      </c>
      <c r="AK39" s="4">
        <f t="shared" si="77"/>
        <v>-0.5317631574</v>
      </c>
      <c r="AL39" s="4">
        <f t="shared" si="77"/>
        <v>-0.4160834666</v>
      </c>
      <c r="AM39" s="4">
        <f t="shared" si="77"/>
        <v>2.31847278</v>
      </c>
      <c r="AN39" s="4">
        <f t="shared" si="77"/>
        <v>0.707020578</v>
      </c>
      <c r="AO39" s="4">
        <f t="shared" si="77"/>
        <v>0.5051865234</v>
      </c>
      <c r="AP39" s="4">
        <f t="shared" si="77"/>
        <v>0.2387725784</v>
      </c>
      <c r="AQ39" s="4">
        <f t="shared" si="77"/>
        <v>-0.2838661184</v>
      </c>
      <c r="AR39" s="4">
        <f t="shared" si="77"/>
        <v>-0.8294233232</v>
      </c>
      <c r="AS39" s="4">
        <f t="shared" si="77"/>
        <v>0.7737732992</v>
      </c>
      <c r="AT39" s="4">
        <f t="shared" si="77"/>
        <v>0.120595457</v>
      </c>
      <c r="AU39" s="4">
        <f t="shared" si="77"/>
        <v>-0.4867681872</v>
      </c>
      <c r="AV39" s="4">
        <f t="shared" si="77"/>
        <v>-1.006909453</v>
      </c>
      <c r="AW39" s="4">
        <f t="shared" si="77"/>
        <v>-0.6688384607</v>
      </c>
      <c r="AX39" s="4">
        <f t="shared" si="77"/>
        <v>0.2137364437</v>
      </c>
      <c r="AY39" s="4">
        <f t="shared" si="77"/>
        <v>2.754207074</v>
      </c>
      <c r="AZ39" s="4">
        <f t="shared" si="77"/>
        <v>0.840479649</v>
      </c>
      <c r="BA39" s="4">
        <f t="shared" si="77"/>
        <v>0.5354773463</v>
      </c>
      <c r="BB39" s="4">
        <f t="shared" ref="BB39:BY39" si="78">IF(AD39&gt;=1,1,0)
</f>
        <v>0</v>
      </c>
      <c r="BC39" s="4">
        <f t="shared" si="78"/>
        <v>0</v>
      </c>
      <c r="BD39" s="4">
        <f t="shared" si="78"/>
        <v>0</v>
      </c>
      <c r="BE39" s="4">
        <f t="shared" si="78"/>
        <v>0</v>
      </c>
      <c r="BF39" s="4">
        <f t="shared" si="78"/>
        <v>0</v>
      </c>
      <c r="BG39" s="4">
        <f t="shared" si="78"/>
        <v>0</v>
      </c>
      <c r="BH39" s="4">
        <f t="shared" si="78"/>
        <v>0</v>
      </c>
      <c r="BI39" s="4">
        <f t="shared" si="78"/>
        <v>0</v>
      </c>
      <c r="BJ39" s="4">
        <f t="shared" si="78"/>
        <v>0</v>
      </c>
      <c r="BK39" s="4">
        <f t="shared" si="78"/>
        <v>1</v>
      </c>
      <c r="BL39" s="4">
        <f t="shared" si="78"/>
        <v>0</v>
      </c>
      <c r="BM39" s="4">
        <f t="shared" si="78"/>
        <v>0</v>
      </c>
      <c r="BN39" s="4">
        <f t="shared" si="78"/>
        <v>0</v>
      </c>
      <c r="BO39" s="4">
        <f t="shared" si="78"/>
        <v>0</v>
      </c>
      <c r="BP39" s="4">
        <f t="shared" si="78"/>
        <v>0</v>
      </c>
      <c r="BQ39" s="4">
        <f t="shared" si="78"/>
        <v>0</v>
      </c>
      <c r="BR39" s="4">
        <f t="shared" si="78"/>
        <v>0</v>
      </c>
      <c r="BS39" s="4">
        <f t="shared" si="78"/>
        <v>0</v>
      </c>
      <c r="BT39" s="4">
        <f t="shared" si="78"/>
        <v>0</v>
      </c>
      <c r="BU39" s="4">
        <f t="shared" si="78"/>
        <v>0</v>
      </c>
      <c r="BV39" s="4">
        <f t="shared" si="78"/>
        <v>0</v>
      </c>
      <c r="BW39" s="4">
        <f t="shared" si="78"/>
        <v>1</v>
      </c>
      <c r="BX39" s="4">
        <f t="shared" si="78"/>
        <v>0</v>
      </c>
      <c r="BY39" s="4">
        <f t="shared" si="78"/>
        <v>0</v>
      </c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</sheetData>
  <drawing r:id="rId1"/>
</worksheet>
</file>