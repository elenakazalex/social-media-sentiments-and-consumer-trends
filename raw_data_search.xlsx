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na\Desktop\L&amp;D\1. Media peaks search response\dataset\"/>
    </mc:Choice>
  </mc:AlternateContent>
  <xr:revisionPtr revIDLastSave="0" documentId="13_ncr:1_{9BF88BE3-0232-4455-8258-407644E17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_freq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9" i="2" l="1"/>
  <c r="AB39" i="2"/>
  <c r="BA39" i="2" s="1"/>
  <c r="BY39" i="2" s="1"/>
  <c r="AC38" i="2"/>
  <c r="AU38" i="2" s="1"/>
  <c r="BS38" i="2" s="1"/>
  <c r="AB38" i="2"/>
  <c r="BA38" i="2" s="1"/>
  <c r="BY38" i="2" s="1"/>
  <c r="AU37" i="2"/>
  <c r="BS37" i="2" s="1"/>
  <c r="AM37" i="2"/>
  <c r="BK37" i="2" s="1"/>
  <c r="AE37" i="2"/>
  <c r="BC37" i="2" s="1"/>
  <c r="AC37" i="2"/>
  <c r="AW37" i="2" s="1"/>
  <c r="BU37" i="2" s="1"/>
  <c r="AB37" i="2"/>
  <c r="BA37" i="2" s="1"/>
  <c r="BY37" i="2" s="1"/>
  <c r="BM36" i="2"/>
  <c r="AY36" i="2"/>
  <c r="BW36" i="2" s="1"/>
  <c r="AW36" i="2"/>
  <c r="BU36" i="2" s="1"/>
  <c r="AU36" i="2"/>
  <c r="BS36" i="2" s="1"/>
  <c r="AQ36" i="2"/>
  <c r="BO36" i="2" s="1"/>
  <c r="AO36" i="2"/>
  <c r="AM36" i="2"/>
  <c r="BK36" i="2" s="1"/>
  <c r="AI36" i="2"/>
  <c r="BG36" i="2" s="1"/>
  <c r="AG36" i="2"/>
  <c r="BE36" i="2" s="1"/>
  <c r="AE36" i="2"/>
  <c r="BC36" i="2" s="1"/>
  <c r="AC36" i="2"/>
  <c r="AX36" i="2" s="1"/>
  <c r="BV36" i="2" s="1"/>
  <c r="AB36" i="2"/>
  <c r="BA36" i="2" s="1"/>
  <c r="BY36" i="2" s="1"/>
  <c r="BO35" i="2"/>
  <c r="AS35" i="2"/>
  <c r="BQ35" i="2" s="1"/>
  <c r="AQ35" i="2"/>
  <c r="AK35" i="2"/>
  <c r="BI35" i="2" s="1"/>
  <c r="AI35" i="2"/>
  <c r="BG35" i="2" s="1"/>
  <c r="AC35" i="2"/>
  <c r="AW35" i="2" s="1"/>
  <c r="BU35" i="2" s="1"/>
  <c r="AB35" i="2"/>
  <c r="BY34" i="2"/>
  <c r="BC34" i="2"/>
  <c r="BA34" i="2"/>
  <c r="AU34" i="2"/>
  <c r="BS34" i="2" s="1"/>
  <c r="AS34" i="2"/>
  <c r="BQ34" i="2" s="1"/>
  <c r="AM34" i="2"/>
  <c r="BK34" i="2" s="1"/>
  <c r="AI34" i="2"/>
  <c r="BG34" i="2" s="1"/>
  <c r="AE34" i="2"/>
  <c r="AC34" i="2"/>
  <c r="AB34" i="2"/>
  <c r="AZ34" i="2" s="1"/>
  <c r="BX34" i="2" s="1"/>
  <c r="BE33" i="2"/>
  <c r="AS33" i="2"/>
  <c r="BQ33" i="2" s="1"/>
  <c r="AK33" i="2"/>
  <c r="BI33" i="2" s="1"/>
  <c r="AG33" i="2"/>
  <c r="AC33" i="2"/>
  <c r="AU33" i="2" s="1"/>
  <c r="BS33" i="2" s="1"/>
  <c r="AB33" i="2"/>
  <c r="BW32" i="2"/>
  <c r="BU32" i="2"/>
  <c r="BO32" i="2"/>
  <c r="BM32" i="2"/>
  <c r="BG32" i="2"/>
  <c r="BC32" i="2"/>
  <c r="AY32" i="2"/>
  <c r="AW32" i="2"/>
  <c r="AU32" i="2"/>
  <c r="BS32" i="2" s="1"/>
  <c r="AQ32" i="2"/>
  <c r="AO32" i="2"/>
  <c r="AM32" i="2"/>
  <c r="BK32" i="2" s="1"/>
  <c r="AI32" i="2"/>
  <c r="AG32" i="2"/>
  <c r="BE32" i="2" s="1"/>
  <c r="AE32" i="2"/>
  <c r="AC32" i="2"/>
  <c r="AP32" i="2" s="1"/>
  <c r="BN32" i="2" s="1"/>
  <c r="AB32" i="2"/>
  <c r="AX32" i="2" s="1"/>
  <c r="BV32" i="2" s="1"/>
  <c r="AS31" i="2"/>
  <c r="BQ31" i="2" s="1"/>
  <c r="AK31" i="2"/>
  <c r="BI31" i="2" s="1"/>
  <c r="AI31" i="2"/>
  <c r="BG31" i="2" s="1"/>
  <c r="AC31" i="2"/>
  <c r="AW31" i="2" s="1"/>
  <c r="BU31" i="2" s="1"/>
  <c r="AB31" i="2"/>
  <c r="BY30" i="2"/>
  <c r="BC30" i="2"/>
  <c r="BA30" i="2"/>
  <c r="AU30" i="2"/>
  <c r="BS30" i="2" s="1"/>
  <c r="AS30" i="2"/>
  <c r="BQ30" i="2" s="1"/>
  <c r="AM30" i="2"/>
  <c r="BK30" i="2" s="1"/>
  <c r="AI30" i="2"/>
  <c r="BG30" i="2" s="1"/>
  <c r="AE30" i="2"/>
  <c r="AC30" i="2"/>
  <c r="AB30" i="2"/>
  <c r="AT30" i="2" s="1"/>
  <c r="BR30" i="2" s="1"/>
  <c r="BE29" i="2"/>
  <c r="AS29" i="2"/>
  <c r="BQ29" i="2" s="1"/>
  <c r="AK29" i="2"/>
  <c r="BI29" i="2" s="1"/>
  <c r="AG29" i="2"/>
  <c r="AC29" i="2"/>
  <c r="AU29" i="2" s="1"/>
  <c r="BS29" i="2" s="1"/>
  <c r="AB29" i="2"/>
  <c r="BW28" i="2"/>
  <c r="BU28" i="2"/>
  <c r="BO28" i="2"/>
  <c r="BM28" i="2"/>
  <c r="BG28" i="2"/>
  <c r="BC28" i="2"/>
  <c r="AY28" i="2"/>
  <c r="AW28" i="2"/>
  <c r="AU28" i="2"/>
  <c r="BS28" i="2" s="1"/>
  <c r="AQ28" i="2"/>
  <c r="AO28" i="2"/>
  <c r="AM28" i="2"/>
  <c r="BK28" i="2" s="1"/>
  <c r="AI28" i="2"/>
  <c r="AG28" i="2"/>
  <c r="BE28" i="2" s="1"/>
  <c r="AE28" i="2"/>
  <c r="AC28" i="2"/>
  <c r="BA28" i="2" s="1"/>
  <c r="BY28" i="2" s="1"/>
  <c r="AB28" i="2"/>
  <c r="AX28" i="2" s="1"/>
  <c r="BV28" i="2" s="1"/>
  <c r="AK27" i="2"/>
  <c r="BI27" i="2" s="1"/>
  <c r="AC27" i="2"/>
  <c r="AB27" i="2"/>
  <c r="BE26" i="2"/>
  <c r="AY26" i="2"/>
  <c r="BW26" i="2" s="1"/>
  <c r="AW26" i="2"/>
  <c r="BU26" i="2" s="1"/>
  <c r="AO26" i="2"/>
  <c r="BM26" i="2" s="1"/>
  <c r="AI26" i="2"/>
  <c r="BG26" i="2" s="1"/>
  <c r="AG26" i="2"/>
  <c r="AC26" i="2"/>
  <c r="AU26" i="2" s="1"/>
  <c r="BS26" i="2" s="1"/>
  <c r="AB26" i="2"/>
  <c r="BS25" i="2"/>
  <c r="BK25" i="2"/>
  <c r="BJ25" i="2"/>
  <c r="AX25" i="2"/>
  <c r="BV25" i="2" s="1"/>
  <c r="AU25" i="2"/>
  <c r="AT25" i="2"/>
  <c r="BR25" i="2" s="1"/>
  <c r="AP25" i="2"/>
  <c r="BN25" i="2" s="1"/>
  <c r="AM25" i="2"/>
  <c r="AL25" i="2"/>
  <c r="AH25" i="2"/>
  <c r="BF25" i="2" s="1"/>
  <c r="AE25" i="2"/>
  <c r="BC25" i="2" s="1"/>
  <c r="AD25" i="2"/>
  <c r="BB25" i="2" s="1"/>
  <c r="AC25" i="2"/>
  <c r="AB25" i="2"/>
  <c r="BA25" i="2" s="1"/>
  <c r="BY25" i="2" s="1"/>
  <c r="BL24" i="2"/>
  <c r="AR24" i="2"/>
  <c r="BP24" i="2" s="1"/>
  <c r="AO24" i="2"/>
  <c r="BM24" i="2" s="1"/>
  <c r="AN24" i="2"/>
  <c r="AJ24" i="2"/>
  <c r="BH24" i="2" s="1"/>
  <c r="AG24" i="2"/>
  <c r="BE24" i="2" s="1"/>
  <c r="AC24" i="2"/>
  <c r="AB24" i="2"/>
  <c r="BV23" i="2"/>
  <c r="BO23" i="2"/>
  <c r="BN23" i="2"/>
  <c r="AY23" i="2"/>
  <c r="BW23" i="2" s="1"/>
  <c r="AX23" i="2"/>
  <c r="AV23" i="2"/>
  <c r="BT23" i="2" s="1"/>
  <c r="AT23" i="2"/>
  <c r="BR23" i="2" s="1"/>
  <c r="AQ23" i="2"/>
  <c r="AP23" i="2"/>
  <c r="AN23" i="2"/>
  <c r="BL23" i="2" s="1"/>
  <c r="AL23" i="2"/>
  <c r="BJ23" i="2" s="1"/>
  <c r="AI23" i="2"/>
  <c r="BG23" i="2" s="1"/>
  <c r="AH23" i="2"/>
  <c r="BF23" i="2" s="1"/>
  <c r="AF23" i="2"/>
  <c r="BD23" i="2" s="1"/>
  <c r="AD23" i="2"/>
  <c r="BB23" i="2" s="1"/>
  <c r="AC23" i="2"/>
  <c r="BA23" i="2" s="1"/>
  <c r="BY23" i="2" s="1"/>
  <c r="AB23" i="2"/>
  <c r="AW23" i="2" s="1"/>
  <c r="BU23" i="2" s="1"/>
  <c r="AZ22" i="2"/>
  <c r="BX22" i="2" s="1"/>
  <c r="AS22" i="2"/>
  <c r="BQ22" i="2" s="1"/>
  <c r="AR22" i="2"/>
  <c r="BP22" i="2" s="1"/>
  <c r="AC22" i="2"/>
  <c r="AB22" i="2"/>
  <c r="BS21" i="2"/>
  <c r="BR21" i="2"/>
  <c r="BF21" i="2"/>
  <c r="AX21" i="2"/>
  <c r="BV21" i="2" s="1"/>
  <c r="AU21" i="2"/>
  <c r="AT21" i="2"/>
  <c r="AP21" i="2"/>
  <c r="BN21" i="2" s="1"/>
  <c r="AM21" i="2"/>
  <c r="BK21" i="2" s="1"/>
  <c r="AL21" i="2"/>
  <c r="BJ21" i="2" s="1"/>
  <c r="AH21" i="2"/>
  <c r="AE21" i="2"/>
  <c r="BC21" i="2" s="1"/>
  <c r="AD21" i="2"/>
  <c r="BB21" i="2" s="1"/>
  <c r="AC21" i="2"/>
  <c r="AB21" i="2"/>
  <c r="BA21" i="2" s="1"/>
  <c r="BY21" i="2" s="1"/>
  <c r="AW20" i="2"/>
  <c r="BU20" i="2" s="1"/>
  <c r="AR20" i="2"/>
  <c r="BP20" i="2" s="1"/>
  <c r="AO20" i="2"/>
  <c r="BM20" i="2" s="1"/>
  <c r="AC20" i="2"/>
  <c r="AB20" i="2"/>
  <c r="BV19" i="2"/>
  <c r="BF19" i="2"/>
  <c r="BB19" i="2"/>
  <c r="AY19" i="2"/>
  <c r="BW19" i="2" s="1"/>
  <c r="AX19" i="2"/>
  <c r="AV19" i="2"/>
  <c r="BT19" i="2" s="1"/>
  <c r="AT19" i="2"/>
  <c r="BR19" i="2" s="1"/>
  <c r="AQ19" i="2"/>
  <c r="BO19" i="2" s="1"/>
  <c r="AP19" i="2"/>
  <c r="BN19" i="2" s="1"/>
  <c r="AN19" i="2"/>
  <c r="BL19" i="2" s="1"/>
  <c r="AL19" i="2"/>
  <c r="BJ19" i="2" s="1"/>
  <c r="AI19" i="2"/>
  <c r="BG19" i="2" s="1"/>
  <c r="AH19" i="2"/>
  <c r="AF19" i="2"/>
  <c r="BD19" i="2" s="1"/>
  <c r="AD19" i="2"/>
  <c r="AC19" i="2"/>
  <c r="AW19" i="2" s="1"/>
  <c r="BU19" i="2" s="1"/>
  <c r="AB19" i="2"/>
  <c r="AU19" i="2" s="1"/>
  <c r="BS19" i="2" s="1"/>
  <c r="AP18" i="2"/>
  <c r="BN18" i="2" s="1"/>
  <c r="AC18" i="2"/>
  <c r="AB18" i="2"/>
  <c r="BX17" i="2"/>
  <c r="BH17" i="2"/>
  <c r="AZ17" i="2"/>
  <c r="AX17" i="2"/>
  <c r="BV17" i="2" s="1"/>
  <c r="AU17" i="2"/>
  <c r="BS17" i="2" s="1"/>
  <c r="AT17" i="2"/>
  <c r="BR17" i="2" s="1"/>
  <c r="AR17" i="2"/>
  <c r="BP17" i="2" s="1"/>
  <c r="AJ17" i="2"/>
  <c r="AH17" i="2"/>
  <c r="BF17" i="2" s="1"/>
  <c r="AE17" i="2"/>
  <c r="BC17" i="2" s="1"/>
  <c r="AD17" i="2"/>
  <c r="BB17" i="2" s="1"/>
  <c r="AC17" i="2"/>
  <c r="AB17" i="2"/>
  <c r="AM17" i="2" s="1"/>
  <c r="BK17" i="2" s="1"/>
  <c r="BT16" i="2"/>
  <c r="BP16" i="2"/>
  <c r="BG16" i="2"/>
  <c r="BD16" i="2"/>
  <c r="BB16" i="2"/>
  <c r="AV16" i="2"/>
  <c r="AT16" i="2"/>
  <c r="BR16" i="2" s="1"/>
  <c r="AR16" i="2"/>
  <c r="AQ16" i="2"/>
  <c r="BO16" i="2" s="1"/>
  <c r="AO16" i="2"/>
  <c r="BM16" i="2" s="1"/>
  <c r="AI16" i="2"/>
  <c r="AG16" i="2"/>
  <c r="BE16" i="2" s="1"/>
  <c r="AF16" i="2"/>
  <c r="AD16" i="2"/>
  <c r="AC16" i="2"/>
  <c r="AB16" i="2"/>
  <c r="AY16" i="2" s="1"/>
  <c r="BW16" i="2" s="1"/>
  <c r="BA15" i="2"/>
  <c r="BY15" i="2" s="1"/>
  <c r="AC15" i="2"/>
  <c r="AB15" i="2"/>
  <c r="AC14" i="2"/>
  <c r="AB14" i="2"/>
  <c r="AM14" i="2" s="1"/>
  <c r="BK14" i="2" s="1"/>
  <c r="BS13" i="2"/>
  <c r="BR13" i="2"/>
  <c r="BE13" i="2"/>
  <c r="BC13" i="2"/>
  <c r="AX13" i="2"/>
  <c r="BV13" i="2" s="1"/>
  <c r="AW13" i="2"/>
  <c r="BU13" i="2" s="1"/>
  <c r="AV13" i="2"/>
  <c r="BT13" i="2" s="1"/>
  <c r="AU13" i="2"/>
  <c r="AT13" i="2"/>
  <c r="AP13" i="2"/>
  <c r="BN13" i="2" s="1"/>
  <c r="AO13" i="2"/>
  <c r="BM13" i="2" s="1"/>
  <c r="AN13" i="2"/>
  <c r="BL13" i="2" s="1"/>
  <c r="AM13" i="2"/>
  <c r="BK13" i="2" s="1"/>
  <c r="AL13" i="2"/>
  <c r="BJ13" i="2" s="1"/>
  <c r="AH13" i="2"/>
  <c r="BF13" i="2" s="1"/>
  <c r="AG13" i="2"/>
  <c r="AF13" i="2"/>
  <c r="BD13" i="2" s="1"/>
  <c r="AE13" i="2"/>
  <c r="AD13" i="2"/>
  <c r="BB13" i="2" s="1"/>
  <c r="AC13" i="2"/>
  <c r="BA13" i="2" s="1"/>
  <c r="BY13" i="2" s="1"/>
  <c r="AB13" i="2"/>
  <c r="AZ13" i="2" s="1"/>
  <c r="BX13" i="2" s="1"/>
  <c r="BW12" i="2"/>
  <c r="BG12" i="2"/>
  <c r="BE12" i="2"/>
  <c r="BD12" i="2"/>
  <c r="AY12" i="2"/>
  <c r="AX12" i="2"/>
  <c r="BV12" i="2" s="1"/>
  <c r="AW12" i="2"/>
  <c r="BU12" i="2" s="1"/>
  <c r="AV12" i="2"/>
  <c r="BT12" i="2" s="1"/>
  <c r="AQ12" i="2"/>
  <c r="BO12" i="2" s="1"/>
  <c r="AP12" i="2"/>
  <c r="BN12" i="2" s="1"/>
  <c r="AO12" i="2"/>
  <c r="BM12" i="2" s="1"/>
  <c r="AN12" i="2"/>
  <c r="BL12" i="2" s="1"/>
  <c r="AI12" i="2"/>
  <c r="AH12" i="2"/>
  <c r="BF12" i="2" s="1"/>
  <c r="AG12" i="2"/>
  <c r="AF12" i="2"/>
  <c r="AC12" i="2"/>
  <c r="AB12" i="2"/>
  <c r="AU12" i="2" s="1"/>
  <c r="BS12" i="2" s="1"/>
  <c r="BY11" i="2"/>
  <c r="BI11" i="2"/>
  <c r="BA11" i="2"/>
  <c r="AQ11" i="2"/>
  <c r="BO11" i="2" s="1"/>
  <c r="AP11" i="2"/>
  <c r="BN11" i="2" s="1"/>
  <c r="AK11" i="2"/>
  <c r="AI11" i="2"/>
  <c r="BG11" i="2" s="1"/>
  <c r="AH11" i="2"/>
  <c r="BF11" i="2" s="1"/>
  <c r="AC11" i="2"/>
  <c r="AY11" i="2" s="1"/>
  <c r="BW11" i="2" s="1"/>
  <c r="AB11" i="2"/>
  <c r="AC10" i="2"/>
  <c r="AB10" i="2"/>
  <c r="BU9" i="2"/>
  <c r="BS9" i="2"/>
  <c r="BJ9" i="2"/>
  <c r="BE9" i="2"/>
  <c r="BB9" i="2"/>
  <c r="AX9" i="2"/>
  <c r="BV9" i="2" s="1"/>
  <c r="AW9" i="2"/>
  <c r="AV9" i="2"/>
  <c r="BT9" i="2" s="1"/>
  <c r="AU9" i="2"/>
  <c r="AT9" i="2"/>
  <c r="BR9" i="2" s="1"/>
  <c r="AP9" i="2"/>
  <c r="BN9" i="2" s="1"/>
  <c r="AO9" i="2"/>
  <c r="BM9" i="2" s="1"/>
  <c r="AN9" i="2"/>
  <c r="BL9" i="2" s="1"/>
  <c r="AM9" i="2"/>
  <c r="BK9" i="2" s="1"/>
  <c r="AL9" i="2"/>
  <c r="AH9" i="2"/>
  <c r="BF9" i="2" s="1"/>
  <c r="AG9" i="2"/>
  <c r="AF9" i="2"/>
  <c r="BD9" i="2" s="1"/>
  <c r="AE9" i="2"/>
  <c r="BC9" i="2" s="1"/>
  <c r="AD9" i="2"/>
  <c r="AC9" i="2"/>
  <c r="BA9" i="2" s="1"/>
  <c r="BY9" i="2" s="1"/>
  <c r="AB9" i="2"/>
  <c r="AZ9" i="2" s="1"/>
  <c r="BX9" i="2" s="1"/>
  <c r="BW8" i="2"/>
  <c r="BO8" i="2"/>
  <c r="BL8" i="2"/>
  <c r="BG8" i="2"/>
  <c r="BE8" i="2"/>
  <c r="AY8" i="2"/>
  <c r="AX8" i="2"/>
  <c r="BV8" i="2" s="1"/>
  <c r="AW8" i="2"/>
  <c r="BU8" i="2" s="1"/>
  <c r="AV8" i="2"/>
  <c r="BT8" i="2" s="1"/>
  <c r="AQ8" i="2"/>
  <c r="AP8" i="2"/>
  <c r="BN8" i="2" s="1"/>
  <c r="AO8" i="2"/>
  <c r="BM8" i="2" s="1"/>
  <c r="AN8" i="2"/>
  <c r="AI8" i="2"/>
  <c r="AH8" i="2"/>
  <c r="BF8" i="2" s="1"/>
  <c r="AG8" i="2"/>
  <c r="AF8" i="2"/>
  <c r="BD8" i="2" s="1"/>
  <c r="AC8" i="2"/>
  <c r="AB8" i="2"/>
  <c r="AU8" i="2" s="1"/>
  <c r="BS8" i="2" s="1"/>
  <c r="BY7" i="2"/>
  <c r="BN7" i="2"/>
  <c r="BF7" i="2"/>
  <c r="BA7" i="2"/>
  <c r="AX7" i="2"/>
  <c r="BV7" i="2" s="1"/>
  <c r="AS7" i="2"/>
  <c r="BQ7" i="2" s="1"/>
  <c r="AQ7" i="2"/>
  <c r="BO7" i="2" s="1"/>
  <c r="AP7" i="2"/>
  <c r="AK7" i="2"/>
  <c r="BI7" i="2" s="1"/>
  <c r="AI7" i="2"/>
  <c r="BG7" i="2" s="1"/>
  <c r="AH7" i="2"/>
  <c r="AC7" i="2"/>
  <c r="AY7" i="2" s="1"/>
  <c r="BW7" i="2" s="1"/>
  <c r="AB7" i="2"/>
  <c r="AW7" i="2" s="1"/>
  <c r="BU7" i="2" s="1"/>
  <c r="BA6" i="2"/>
  <c r="BY6" i="2" s="1"/>
  <c r="AU6" i="2"/>
  <c r="BS6" i="2" s="1"/>
  <c r="AS6" i="2"/>
  <c r="BQ6" i="2" s="1"/>
  <c r="AE6" i="2"/>
  <c r="BC6" i="2" s="1"/>
  <c r="AC6" i="2"/>
  <c r="AB6" i="2"/>
  <c r="BU5" i="2"/>
  <c r="BK5" i="2"/>
  <c r="BJ5" i="2"/>
  <c r="BC5" i="2"/>
  <c r="BB5" i="2"/>
  <c r="AX5" i="2"/>
  <c r="BV5" i="2" s="1"/>
  <c r="AW5" i="2"/>
  <c r="AV5" i="2"/>
  <c r="BT5" i="2" s="1"/>
  <c r="AU5" i="2"/>
  <c r="BS5" i="2" s="1"/>
  <c r="AT5" i="2"/>
  <c r="BR5" i="2" s="1"/>
  <c r="AP5" i="2"/>
  <c r="BN5" i="2" s="1"/>
  <c r="AO5" i="2"/>
  <c r="BM5" i="2" s="1"/>
  <c r="AN5" i="2"/>
  <c r="BL5" i="2" s="1"/>
  <c r="AM5" i="2"/>
  <c r="AL5" i="2"/>
  <c r="AH5" i="2"/>
  <c r="BF5" i="2" s="1"/>
  <c r="AG5" i="2"/>
  <c r="BE5" i="2" s="1"/>
  <c r="AF5" i="2"/>
  <c r="BD5" i="2" s="1"/>
  <c r="AE5" i="2"/>
  <c r="AD5" i="2"/>
  <c r="AC5" i="2"/>
  <c r="AB5" i="2"/>
  <c r="BA5" i="2" s="1"/>
  <c r="BY5" i="2" s="1"/>
  <c r="BO4" i="2"/>
  <c r="BG4" i="2"/>
  <c r="BE4" i="2"/>
  <c r="AY4" i="2"/>
  <c r="BW4" i="2" s="1"/>
  <c r="AW4" i="2"/>
  <c r="BU4" i="2" s="1"/>
  <c r="AV4" i="2"/>
  <c r="BT4" i="2" s="1"/>
  <c r="AQ4" i="2"/>
  <c r="AO4" i="2"/>
  <c r="BM4" i="2" s="1"/>
  <c r="AN4" i="2"/>
  <c r="BL4" i="2" s="1"/>
  <c r="AI4" i="2"/>
  <c r="AG4" i="2"/>
  <c r="AF4" i="2"/>
  <c r="BD4" i="2" s="1"/>
  <c r="AC4" i="2"/>
  <c r="AB4" i="2"/>
  <c r="AU4" i="2" s="1"/>
  <c r="BS4" i="2" s="1"/>
  <c r="AC3" i="2"/>
  <c r="AB3" i="2"/>
  <c r="AZ2" i="2"/>
  <c r="BX2" i="2" s="1"/>
  <c r="AC2" i="2"/>
  <c r="AL2" i="2" s="1"/>
  <c r="BJ2" i="2" s="1"/>
  <c r="AB2" i="2"/>
  <c r="BA10" i="2" l="1"/>
  <c r="BY10" i="2" s="1"/>
  <c r="AE10" i="2"/>
  <c r="BC10" i="2" s="1"/>
  <c r="AZ10" i="2"/>
  <c r="BX10" i="2" s="1"/>
  <c r="AS10" i="2"/>
  <c r="BQ10" i="2" s="1"/>
  <c r="AR10" i="2"/>
  <c r="BP10" i="2" s="1"/>
  <c r="BA3" i="2"/>
  <c r="BY3" i="2" s="1"/>
  <c r="AK3" i="2"/>
  <c r="BI3" i="2" s="1"/>
  <c r="AY3" i="2"/>
  <c r="BW3" i="2" s="1"/>
  <c r="AI3" i="2"/>
  <c r="BG3" i="2" s="1"/>
  <c r="AX3" i="2"/>
  <c r="BV3" i="2" s="1"/>
  <c r="AH3" i="2"/>
  <c r="BF3" i="2" s="1"/>
  <c r="AT3" i="2"/>
  <c r="BR3" i="2" s="1"/>
  <c r="AD3" i="2"/>
  <c r="BB3" i="2" s="1"/>
  <c r="AQ3" i="2"/>
  <c r="BO3" i="2" s="1"/>
  <c r="AS3" i="2"/>
  <c r="BQ3" i="2" s="1"/>
  <c r="AP3" i="2"/>
  <c r="BN3" i="2" s="1"/>
  <c r="AL3" i="2"/>
  <c r="BJ3" i="2" s="1"/>
  <c r="AK2" i="2"/>
  <c r="BI2" i="2" s="1"/>
  <c r="AX15" i="2"/>
  <c r="BV15" i="2" s="1"/>
  <c r="AS15" i="2"/>
  <c r="BQ15" i="2" s="1"/>
  <c r="AQ15" i="2"/>
  <c r="BO15" i="2" s="1"/>
  <c r="AP15" i="2"/>
  <c r="BN15" i="2" s="1"/>
  <c r="AI15" i="2"/>
  <c r="BG15" i="2" s="1"/>
  <c r="AH15" i="2"/>
  <c r="BF15" i="2" s="1"/>
  <c r="AR2" i="2"/>
  <c r="BP2" i="2" s="1"/>
  <c r="AD2" i="2"/>
  <c r="BB2" i="2" s="1"/>
  <c r="AY14" i="2"/>
  <c r="BW14" i="2" s="1"/>
  <c r="AQ14" i="2"/>
  <c r="BO14" i="2" s="1"/>
  <c r="AI14" i="2"/>
  <c r="BG14" i="2" s="1"/>
  <c r="AX14" i="2"/>
  <c r="BV14" i="2" s="1"/>
  <c r="AP14" i="2"/>
  <c r="BN14" i="2" s="1"/>
  <c r="AH14" i="2"/>
  <c r="BF14" i="2" s="1"/>
  <c r="AW14" i="2"/>
  <c r="BU14" i="2" s="1"/>
  <c r="AO14" i="2"/>
  <c r="BM14" i="2" s="1"/>
  <c r="AG14" i="2"/>
  <c r="BE14" i="2" s="1"/>
  <c r="AV14" i="2"/>
  <c r="BT14" i="2" s="1"/>
  <c r="AN14" i="2"/>
  <c r="BL14" i="2" s="1"/>
  <c r="AF14" i="2"/>
  <c r="BD14" i="2" s="1"/>
  <c r="AT14" i="2"/>
  <c r="BR14" i="2" s="1"/>
  <c r="AL14" i="2"/>
  <c r="BJ14" i="2" s="1"/>
  <c r="AD14" i="2"/>
  <c r="BB14" i="2" s="1"/>
  <c r="AK14" i="2"/>
  <c r="BI14" i="2" s="1"/>
  <c r="AJ14" i="2"/>
  <c r="BH14" i="2" s="1"/>
  <c r="BA14" i="2"/>
  <c r="BY14" i="2" s="1"/>
  <c r="AE14" i="2"/>
  <c r="BC14" i="2" s="1"/>
  <c r="AZ14" i="2"/>
  <c r="BX14" i="2" s="1"/>
  <c r="AS14" i="2"/>
  <c r="BQ14" i="2" s="1"/>
  <c r="AN2" i="2"/>
  <c r="BL2" i="2" s="1"/>
  <c r="AY6" i="2"/>
  <c r="BW6" i="2" s="1"/>
  <c r="AQ6" i="2"/>
  <c r="BO6" i="2" s="1"/>
  <c r="AI6" i="2"/>
  <c r="BG6" i="2" s="1"/>
  <c r="AX6" i="2"/>
  <c r="BV6" i="2" s="1"/>
  <c r="AP6" i="2"/>
  <c r="BN6" i="2" s="1"/>
  <c r="AH6" i="2"/>
  <c r="BF6" i="2" s="1"/>
  <c r="AW6" i="2"/>
  <c r="BU6" i="2" s="1"/>
  <c r="AO6" i="2"/>
  <c r="BM6" i="2" s="1"/>
  <c r="AG6" i="2"/>
  <c r="BE6" i="2" s="1"/>
  <c r="AV6" i="2"/>
  <c r="BT6" i="2" s="1"/>
  <c r="AN6" i="2"/>
  <c r="BL6" i="2" s="1"/>
  <c r="AF6" i="2"/>
  <c r="BD6" i="2" s="1"/>
  <c r="AT6" i="2"/>
  <c r="BR6" i="2" s="1"/>
  <c r="AL6" i="2"/>
  <c r="BJ6" i="2" s="1"/>
  <c r="AD6" i="2"/>
  <c r="BB6" i="2" s="1"/>
  <c r="AR6" i="2"/>
  <c r="BP6" i="2" s="1"/>
  <c r="AM6" i="2"/>
  <c r="BK6" i="2" s="1"/>
  <c r="AK6" i="2"/>
  <c r="BI6" i="2" s="1"/>
  <c r="AJ6" i="2"/>
  <c r="BH6" i="2" s="1"/>
  <c r="AZ6" i="2"/>
  <c r="BX6" i="2" s="1"/>
  <c r="AR14" i="2"/>
  <c r="BP14" i="2" s="1"/>
  <c r="AK15" i="2"/>
  <c r="BI15" i="2" s="1"/>
  <c r="AV2" i="2"/>
  <c r="BT2" i="2" s="1"/>
  <c r="AU14" i="2"/>
  <c r="BS14" i="2" s="1"/>
  <c r="AY15" i="2"/>
  <c r="BW15" i="2" s="1"/>
  <c r="AY18" i="2"/>
  <c r="BW18" i="2" s="1"/>
  <c r="AQ18" i="2"/>
  <c r="BO18" i="2" s="1"/>
  <c r="AI18" i="2"/>
  <c r="BG18" i="2" s="1"/>
  <c r="AW18" i="2"/>
  <c r="BU18" i="2" s="1"/>
  <c r="AO18" i="2"/>
  <c r="BM18" i="2" s="1"/>
  <c r="AG18" i="2"/>
  <c r="BE18" i="2" s="1"/>
  <c r="AU18" i="2"/>
  <c r="BS18" i="2" s="1"/>
  <c r="AM18" i="2"/>
  <c r="BK18" i="2" s="1"/>
  <c r="AE18" i="2"/>
  <c r="BC18" i="2" s="1"/>
  <c r="AT18" i="2"/>
  <c r="BR18" i="2" s="1"/>
  <c r="AL18" i="2"/>
  <c r="BJ18" i="2" s="1"/>
  <c r="AD18" i="2"/>
  <c r="BB18" i="2" s="1"/>
  <c r="AN18" i="2"/>
  <c r="BL18" i="2" s="1"/>
  <c r="BA18" i="2"/>
  <c r="BY18" i="2" s="1"/>
  <c r="AK18" i="2"/>
  <c r="BI18" i="2" s="1"/>
  <c r="AZ18" i="2"/>
  <c r="BX18" i="2" s="1"/>
  <c r="AJ18" i="2"/>
  <c r="BH18" i="2" s="1"/>
  <c r="AX18" i="2"/>
  <c r="BV18" i="2" s="1"/>
  <c r="AH18" i="2"/>
  <c r="BF18" i="2" s="1"/>
  <c r="AS18" i="2"/>
  <c r="BQ18" i="2" s="1"/>
  <c r="AV18" i="2"/>
  <c r="BT18" i="2" s="1"/>
  <c r="AR18" i="2"/>
  <c r="BP18" i="2" s="1"/>
  <c r="AF18" i="2"/>
  <c r="BD18" i="2" s="1"/>
  <c r="AY2" i="2"/>
  <c r="BW2" i="2" s="1"/>
  <c r="AQ2" i="2"/>
  <c r="BO2" i="2" s="1"/>
  <c r="AI2" i="2"/>
  <c r="BG2" i="2" s="1"/>
  <c r="AX2" i="2"/>
  <c r="BV2" i="2" s="1"/>
  <c r="AP2" i="2"/>
  <c r="BN2" i="2" s="1"/>
  <c r="AH2" i="2"/>
  <c r="BF2" i="2" s="1"/>
  <c r="AW2" i="2"/>
  <c r="BU2" i="2" s="1"/>
  <c r="AO2" i="2"/>
  <c r="BM2" i="2" s="1"/>
  <c r="AG2" i="2"/>
  <c r="BE2" i="2" s="1"/>
  <c r="AM2" i="2"/>
  <c r="BK2" i="2" s="1"/>
  <c r="BA2" i="2"/>
  <c r="BY2" i="2" s="1"/>
  <c r="AW3" i="2"/>
  <c r="BU3" i="2" s="1"/>
  <c r="AY10" i="2"/>
  <c r="BW10" i="2" s="1"/>
  <c r="AQ10" i="2"/>
  <c r="BO10" i="2" s="1"/>
  <c r="AI10" i="2"/>
  <c r="BG10" i="2" s="1"/>
  <c r="AX10" i="2"/>
  <c r="BV10" i="2" s="1"/>
  <c r="AP10" i="2"/>
  <c r="BN10" i="2" s="1"/>
  <c r="AH10" i="2"/>
  <c r="BF10" i="2" s="1"/>
  <c r="AW10" i="2"/>
  <c r="BU10" i="2" s="1"/>
  <c r="AO10" i="2"/>
  <c r="BM10" i="2" s="1"/>
  <c r="AG10" i="2"/>
  <c r="BE10" i="2" s="1"/>
  <c r="AV10" i="2"/>
  <c r="BT10" i="2" s="1"/>
  <c r="AN10" i="2"/>
  <c r="BL10" i="2" s="1"/>
  <c r="AF10" i="2"/>
  <c r="BD10" i="2" s="1"/>
  <c r="AT10" i="2"/>
  <c r="BR10" i="2" s="1"/>
  <c r="AL10" i="2"/>
  <c r="BJ10" i="2" s="1"/>
  <c r="AD10" i="2"/>
  <c r="BB10" i="2" s="1"/>
  <c r="AU10" i="2"/>
  <c r="BS10" i="2" s="1"/>
  <c r="AH27" i="2"/>
  <c r="BF27" i="2" s="1"/>
  <c r="AF27" i="2"/>
  <c r="BD27" i="2" s="1"/>
  <c r="AQ27" i="2"/>
  <c r="BO27" i="2" s="1"/>
  <c r="AO27" i="2"/>
  <c r="BM27" i="2" s="1"/>
  <c r="AM27" i="2"/>
  <c r="BK27" i="2" s="1"/>
  <c r="AY27" i="2"/>
  <c r="BW27" i="2" s="1"/>
  <c r="AI27" i="2"/>
  <c r="BG27" i="2" s="1"/>
  <c r="AW27" i="2"/>
  <c r="BU27" i="2" s="1"/>
  <c r="AG27" i="2"/>
  <c r="BE27" i="2" s="1"/>
  <c r="BA27" i="2"/>
  <c r="BY27" i="2" s="1"/>
  <c r="AU27" i="2"/>
  <c r="BS27" i="2" s="1"/>
  <c r="AS27" i="2"/>
  <c r="BQ27" i="2" s="1"/>
  <c r="AE27" i="2"/>
  <c r="BC27" i="2" s="1"/>
  <c r="AE2" i="2"/>
  <c r="BC2" i="2" s="1"/>
  <c r="AS2" i="2"/>
  <c r="BQ2" i="2" s="1"/>
  <c r="AJ10" i="2"/>
  <c r="BH10" i="2" s="1"/>
  <c r="AS11" i="2"/>
  <c r="BQ11" i="2" s="1"/>
  <c r="AF2" i="2"/>
  <c r="BD2" i="2" s="1"/>
  <c r="AT2" i="2"/>
  <c r="BR2" i="2" s="1"/>
  <c r="AK10" i="2"/>
  <c r="BI10" i="2" s="1"/>
  <c r="AW11" i="2"/>
  <c r="BU11" i="2" s="1"/>
  <c r="AX11" i="2"/>
  <c r="BV11" i="2" s="1"/>
  <c r="AJ2" i="2"/>
  <c r="BH2" i="2" s="1"/>
  <c r="AU2" i="2"/>
  <c r="BS2" i="2" s="1"/>
  <c r="AM10" i="2"/>
  <c r="BK10" i="2" s="1"/>
  <c r="AW15" i="2"/>
  <c r="BU15" i="2" s="1"/>
  <c r="AJ3" i="2"/>
  <c r="BH3" i="2" s="1"/>
  <c r="AR3" i="2"/>
  <c r="BP3" i="2" s="1"/>
  <c r="AZ3" i="2"/>
  <c r="BX3" i="2" s="1"/>
  <c r="AH4" i="2"/>
  <c r="BF4" i="2" s="1"/>
  <c r="AP4" i="2"/>
  <c r="BN4" i="2" s="1"/>
  <c r="AX4" i="2"/>
  <c r="BV4" i="2" s="1"/>
  <c r="AJ7" i="2"/>
  <c r="BH7" i="2" s="1"/>
  <c r="AR7" i="2"/>
  <c r="BP7" i="2" s="1"/>
  <c r="AZ7" i="2"/>
  <c r="BX7" i="2" s="1"/>
  <c r="AJ11" i="2"/>
  <c r="BH11" i="2" s="1"/>
  <c r="AR11" i="2"/>
  <c r="BP11" i="2" s="1"/>
  <c r="AZ11" i="2"/>
  <c r="BX11" i="2" s="1"/>
  <c r="AJ15" i="2"/>
  <c r="BH15" i="2" s="1"/>
  <c r="AR15" i="2"/>
  <c r="BP15" i="2" s="1"/>
  <c r="AZ15" i="2"/>
  <c r="BX15" i="2" s="1"/>
  <c r="AU20" i="2"/>
  <c r="BS20" i="2" s="1"/>
  <c r="AM20" i="2"/>
  <c r="BK20" i="2" s="1"/>
  <c r="AE20" i="2"/>
  <c r="BC20" i="2" s="1"/>
  <c r="AT20" i="2"/>
  <c r="BR20" i="2" s="1"/>
  <c r="AL20" i="2"/>
  <c r="BJ20" i="2" s="1"/>
  <c r="AD20" i="2"/>
  <c r="BB20" i="2" s="1"/>
  <c r="BA20" i="2"/>
  <c r="BY20" i="2" s="1"/>
  <c r="AS20" i="2"/>
  <c r="BQ20" i="2" s="1"/>
  <c r="AK20" i="2"/>
  <c r="BI20" i="2" s="1"/>
  <c r="AY20" i="2"/>
  <c r="BW20" i="2" s="1"/>
  <c r="AQ20" i="2"/>
  <c r="BO20" i="2" s="1"/>
  <c r="AI20" i="2"/>
  <c r="BG20" i="2" s="1"/>
  <c r="AX20" i="2"/>
  <c r="BV20" i="2" s="1"/>
  <c r="AP20" i="2"/>
  <c r="BN20" i="2" s="1"/>
  <c r="AH20" i="2"/>
  <c r="BF20" i="2" s="1"/>
  <c r="AV20" i="2"/>
  <c r="BT20" i="2" s="1"/>
  <c r="AY22" i="2"/>
  <c r="BW22" i="2" s="1"/>
  <c r="AQ22" i="2"/>
  <c r="BO22" i="2" s="1"/>
  <c r="AI22" i="2"/>
  <c r="BG22" i="2" s="1"/>
  <c r="AX22" i="2"/>
  <c r="BV22" i="2" s="1"/>
  <c r="AP22" i="2"/>
  <c r="BN22" i="2" s="1"/>
  <c r="AH22" i="2"/>
  <c r="BF22" i="2" s="1"/>
  <c r="AW22" i="2"/>
  <c r="BU22" i="2" s="1"/>
  <c r="AO22" i="2"/>
  <c r="BM22" i="2" s="1"/>
  <c r="AG22" i="2"/>
  <c r="BE22" i="2" s="1"/>
  <c r="AU22" i="2"/>
  <c r="BS22" i="2" s="1"/>
  <c r="AM22" i="2"/>
  <c r="BK22" i="2" s="1"/>
  <c r="AE22" i="2"/>
  <c r="BC22" i="2" s="1"/>
  <c r="AT22" i="2"/>
  <c r="BR22" i="2" s="1"/>
  <c r="AL22" i="2"/>
  <c r="BJ22" i="2" s="1"/>
  <c r="AD22" i="2"/>
  <c r="BB22" i="2" s="1"/>
  <c r="AV22" i="2"/>
  <c r="BT22" i="2" s="1"/>
  <c r="AJ4" i="2"/>
  <c r="BH4" i="2" s="1"/>
  <c r="AR4" i="2"/>
  <c r="BP4" i="2" s="1"/>
  <c r="AZ4" i="2"/>
  <c r="BX4" i="2" s="1"/>
  <c r="AD7" i="2"/>
  <c r="BB7" i="2" s="1"/>
  <c r="AL7" i="2"/>
  <c r="BJ7" i="2" s="1"/>
  <c r="AT7" i="2"/>
  <c r="BR7" i="2" s="1"/>
  <c r="AJ8" i="2"/>
  <c r="BH8" i="2" s="1"/>
  <c r="AR8" i="2"/>
  <c r="BP8" i="2" s="1"/>
  <c r="AZ8" i="2"/>
  <c r="BX8" i="2" s="1"/>
  <c r="AD11" i="2"/>
  <c r="BB11" i="2" s="1"/>
  <c r="AL11" i="2"/>
  <c r="BJ11" i="2" s="1"/>
  <c r="AT11" i="2"/>
  <c r="BR11" i="2" s="1"/>
  <c r="AJ12" i="2"/>
  <c r="BH12" i="2" s="1"/>
  <c r="AR12" i="2"/>
  <c r="BP12" i="2" s="1"/>
  <c r="AZ12" i="2"/>
  <c r="BX12" i="2" s="1"/>
  <c r="AD15" i="2"/>
  <c r="BB15" i="2" s="1"/>
  <c r="AL15" i="2"/>
  <c r="BJ15" i="2" s="1"/>
  <c r="AT15" i="2"/>
  <c r="BR15" i="2" s="1"/>
  <c r="AF20" i="2"/>
  <c r="BD20" i="2" s="1"/>
  <c r="AZ20" i="2"/>
  <c r="BX20" i="2" s="1"/>
  <c r="AF22" i="2"/>
  <c r="BD22" i="2" s="1"/>
  <c r="BA22" i="2"/>
  <c r="BY22" i="2" s="1"/>
  <c r="AE3" i="2"/>
  <c r="BC3" i="2" s="1"/>
  <c r="AM3" i="2"/>
  <c r="BK3" i="2" s="1"/>
  <c r="AU3" i="2"/>
  <c r="BS3" i="2" s="1"/>
  <c r="AK4" i="2"/>
  <c r="BI4" i="2" s="1"/>
  <c r="AS4" i="2"/>
  <c r="BQ4" i="2" s="1"/>
  <c r="BA4" i="2"/>
  <c r="BY4" i="2" s="1"/>
  <c r="AI5" i="2"/>
  <c r="BG5" i="2" s="1"/>
  <c r="AQ5" i="2"/>
  <c r="BO5" i="2" s="1"/>
  <c r="AY5" i="2"/>
  <c r="BW5" i="2" s="1"/>
  <c r="AE7" i="2"/>
  <c r="BC7" i="2" s="1"/>
  <c r="AM7" i="2"/>
  <c r="BK7" i="2" s="1"/>
  <c r="AU7" i="2"/>
  <c r="BS7" i="2" s="1"/>
  <c r="AK8" i="2"/>
  <c r="BI8" i="2" s="1"/>
  <c r="AS8" i="2"/>
  <c r="BQ8" i="2" s="1"/>
  <c r="BA8" i="2"/>
  <c r="BY8" i="2" s="1"/>
  <c r="AI9" i="2"/>
  <c r="BG9" i="2" s="1"/>
  <c r="AQ9" i="2"/>
  <c r="BO9" i="2" s="1"/>
  <c r="AY9" i="2"/>
  <c r="BW9" i="2" s="1"/>
  <c r="AE11" i="2"/>
  <c r="BC11" i="2" s="1"/>
  <c r="AM11" i="2"/>
  <c r="BK11" i="2" s="1"/>
  <c r="AU11" i="2"/>
  <c r="BS11" i="2" s="1"/>
  <c r="AK12" i="2"/>
  <c r="BI12" i="2" s="1"/>
  <c r="AS12" i="2"/>
  <c r="BQ12" i="2" s="1"/>
  <c r="BA12" i="2"/>
  <c r="BY12" i="2" s="1"/>
  <c r="AI13" i="2"/>
  <c r="BG13" i="2" s="1"/>
  <c r="AQ13" i="2"/>
  <c r="BO13" i="2" s="1"/>
  <c r="AY13" i="2"/>
  <c r="BW13" i="2" s="1"/>
  <c r="AE15" i="2"/>
  <c r="BC15" i="2" s="1"/>
  <c r="AM15" i="2"/>
  <c r="BK15" i="2" s="1"/>
  <c r="AU15" i="2"/>
  <c r="BS15" i="2" s="1"/>
  <c r="AJ16" i="2"/>
  <c r="BH16" i="2" s="1"/>
  <c r="AW16" i="2"/>
  <c r="BU16" i="2" s="1"/>
  <c r="AL17" i="2"/>
  <c r="BJ17" i="2" s="1"/>
  <c r="AG20" i="2"/>
  <c r="BE20" i="2" s="1"/>
  <c r="AJ22" i="2"/>
  <c r="BH22" i="2" s="1"/>
  <c r="AU24" i="2"/>
  <c r="BS24" i="2" s="1"/>
  <c r="AM24" i="2"/>
  <c r="BK24" i="2" s="1"/>
  <c r="AE24" i="2"/>
  <c r="BC24" i="2" s="1"/>
  <c r="AT24" i="2"/>
  <c r="BR24" i="2" s="1"/>
  <c r="AL24" i="2"/>
  <c r="BJ24" i="2" s="1"/>
  <c r="AD24" i="2"/>
  <c r="BB24" i="2" s="1"/>
  <c r="BA24" i="2"/>
  <c r="BY24" i="2" s="1"/>
  <c r="AS24" i="2"/>
  <c r="BQ24" i="2" s="1"/>
  <c r="AK24" i="2"/>
  <c r="BI24" i="2" s="1"/>
  <c r="AY24" i="2"/>
  <c r="BW24" i="2" s="1"/>
  <c r="AQ24" i="2"/>
  <c r="BO24" i="2" s="1"/>
  <c r="AI24" i="2"/>
  <c r="BG24" i="2" s="1"/>
  <c r="AX24" i="2"/>
  <c r="BV24" i="2" s="1"/>
  <c r="AP24" i="2"/>
  <c r="BN24" i="2" s="1"/>
  <c r="AH24" i="2"/>
  <c r="BF24" i="2" s="1"/>
  <c r="AV24" i="2"/>
  <c r="BT24" i="2" s="1"/>
  <c r="AF3" i="2"/>
  <c r="BD3" i="2" s="1"/>
  <c r="AN3" i="2"/>
  <c r="BL3" i="2" s="1"/>
  <c r="AV3" i="2"/>
  <c r="BT3" i="2" s="1"/>
  <c r="AD4" i="2"/>
  <c r="BB4" i="2" s="1"/>
  <c r="AL4" i="2"/>
  <c r="BJ4" i="2" s="1"/>
  <c r="AT4" i="2"/>
  <c r="BR4" i="2" s="1"/>
  <c r="AJ5" i="2"/>
  <c r="BH5" i="2" s="1"/>
  <c r="AR5" i="2"/>
  <c r="BP5" i="2" s="1"/>
  <c r="AZ5" i="2"/>
  <c r="BX5" i="2" s="1"/>
  <c r="AF7" i="2"/>
  <c r="BD7" i="2" s="1"/>
  <c r="AN7" i="2"/>
  <c r="BL7" i="2" s="1"/>
  <c r="AV7" i="2"/>
  <c r="BT7" i="2" s="1"/>
  <c r="AD8" i="2"/>
  <c r="BB8" i="2" s="1"/>
  <c r="AL8" i="2"/>
  <c r="BJ8" i="2" s="1"/>
  <c r="AT8" i="2"/>
  <c r="BR8" i="2" s="1"/>
  <c r="AJ9" i="2"/>
  <c r="BH9" i="2" s="1"/>
  <c r="AR9" i="2"/>
  <c r="BP9" i="2" s="1"/>
  <c r="AF11" i="2"/>
  <c r="BD11" i="2" s="1"/>
  <c r="AN11" i="2"/>
  <c r="BL11" i="2" s="1"/>
  <c r="AV11" i="2"/>
  <c r="BT11" i="2" s="1"/>
  <c r="AD12" i="2"/>
  <c r="BB12" i="2" s="1"/>
  <c r="AL12" i="2"/>
  <c r="BJ12" i="2" s="1"/>
  <c r="AT12" i="2"/>
  <c r="BR12" i="2" s="1"/>
  <c r="AJ13" i="2"/>
  <c r="BH13" i="2" s="1"/>
  <c r="AR13" i="2"/>
  <c r="BP13" i="2" s="1"/>
  <c r="AF15" i="2"/>
  <c r="BD15" i="2" s="1"/>
  <c r="AN15" i="2"/>
  <c r="BL15" i="2" s="1"/>
  <c r="AV15" i="2"/>
  <c r="BT15" i="2" s="1"/>
  <c r="AL16" i="2"/>
  <c r="BJ16" i="2" s="1"/>
  <c r="AJ20" i="2"/>
  <c r="BH20" i="2" s="1"/>
  <c r="AK22" i="2"/>
  <c r="BI22" i="2" s="1"/>
  <c r="AW24" i="2"/>
  <c r="BU24" i="2" s="1"/>
  <c r="AG3" i="2"/>
  <c r="BE3" i="2" s="1"/>
  <c r="AO3" i="2"/>
  <c r="BM3" i="2" s="1"/>
  <c r="AE4" i="2"/>
  <c r="BC4" i="2" s="1"/>
  <c r="AM4" i="2"/>
  <c r="BK4" i="2" s="1"/>
  <c r="AK5" i="2"/>
  <c r="BI5" i="2" s="1"/>
  <c r="AS5" i="2"/>
  <c r="BQ5" i="2" s="1"/>
  <c r="AG7" i="2"/>
  <c r="BE7" i="2" s="1"/>
  <c r="AO7" i="2"/>
  <c r="BM7" i="2" s="1"/>
  <c r="AE8" i="2"/>
  <c r="BC8" i="2" s="1"/>
  <c r="AM8" i="2"/>
  <c r="BK8" i="2" s="1"/>
  <c r="AK9" i="2"/>
  <c r="BI9" i="2" s="1"/>
  <c r="AS9" i="2"/>
  <c r="BQ9" i="2" s="1"/>
  <c r="AG11" i="2"/>
  <c r="BE11" i="2" s="1"/>
  <c r="AO11" i="2"/>
  <c r="BM11" i="2" s="1"/>
  <c r="AE12" i="2"/>
  <c r="BC12" i="2" s="1"/>
  <c r="AM12" i="2"/>
  <c r="BK12" i="2" s="1"/>
  <c r="AK13" i="2"/>
  <c r="BI13" i="2" s="1"/>
  <c r="AS13" i="2"/>
  <c r="BQ13" i="2" s="1"/>
  <c r="AG15" i="2"/>
  <c r="BE15" i="2" s="1"/>
  <c r="AO15" i="2"/>
  <c r="BM15" i="2" s="1"/>
  <c r="AU16" i="2"/>
  <c r="BS16" i="2" s="1"/>
  <c r="AM16" i="2"/>
  <c r="BK16" i="2" s="1"/>
  <c r="AE16" i="2"/>
  <c r="BC16" i="2" s="1"/>
  <c r="BA16" i="2"/>
  <c r="BY16" i="2" s="1"/>
  <c r="AS16" i="2"/>
  <c r="BQ16" i="2" s="1"/>
  <c r="AK16" i="2"/>
  <c r="BI16" i="2" s="1"/>
  <c r="AX16" i="2"/>
  <c r="BV16" i="2" s="1"/>
  <c r="AP16" i="2"/>
  <c r="BN16" i="2" s="1"/>
  <c r="AH16" i="2"/>
  <c r="BF16" i="2" s="1"/>
  <c r="AN16" i="2"/>
  <c r="BL16" i="2" s="1"/>
  <c r="AZ16" i="2"/>
  <c r="BX16" i="2" s="1"/>
  <c r="BA17" i="2"/>
  <c r="BY17" i="2" s="1"/>
  <c r="AS17" i="2"/>
  <c r="BQ17" i="2" s="1"/>
  <c r="AK17" i="2"/>
  <c r="BI17" i="2" s="1"/>
  <c r="AY17" i="2"/>
  <c r="BW17" i="2" s="1"/>
  <c r="AQ17" i="2"/>
  <c r="BO17" i="2" s="1"/>
  <c r="AI17" i="2"/>
  <c r="BG17" i="2" s="1"/>
  <c r="AW17" i="2"/>
  <c r="BU17" i="2" s="1"/>
  <c r="AO17" i="2"/>
  <c r="BM17" i="2" s="1"/>
  <c r="AG17" i="2"/>
  <c r="BE17" i="2" s="1"/>
  <c r="AV17" i="2"/>
  <c r="BT17" i="2" s="1"/>
  <c r="AN17" i="2"/>
  <c r="BL17" i="2" s="1"/>
  <c r="AF17" i="2"/>
  <c r="BD17" i="2" s="1"/>
  <c r="AP17" i="2"/>
  <c r="BN17" i="2" s="1"/>
  <c r="AN20" i="2"/>
  <c r="BL20" i="2" s="1"/>
  <c r="AN22" i="2"/>
  <c r="BL22" i="2" s="1"/>
  <c r="AF24" i="2"/>
  <c r="BD24" i="2" s="1"/>
  <c r="AZ24" i="2"/>
  <c r="BX24" i="2" s="1"/>
  <c r="AJ19" i="2"/>
  <c r="BH19" i="2" s="1"/>
  <c r="AR19" i="2"/>
  <c r="BP19" i="2" s="1"/>
  <c r="AZ19" i="2"/>
  <c r="BX19" i="2" s="1"/>
  <c r="AF21" i="2"/>
  <c r="BD21" i="2" s="1"/>
  <c r="AN21" i="2"/>
  <c r="BL21" i="2" s="1"/>
  <c r="AV21" i="2"/>
  <c r="BT21" i="2" s="1"/>
  <c r="AJ23" i="2"/>
  <c r="BH23" i="2" s="1"/>
  <c r="AR23" i="2"/>
  <c r="BP23" i="2" s="1"/>
  <c r="AZ23" i="2"/>
  <c r="BX23" i="2" s="1"/>
  <c r="AF25" i="2"/>
  <c r="BD25" i="2" s="1"/>
  <c r="AN25" i="2"/>
  <c r="BL25" i="2" s="1"/>
  <c r="AV25" i="2"/>
  <c r="BT25" i="2" s="1"/>
  <c r="AK26" i="2"/>
  <c r="BI26" i="2" s="1"/>
  <c r="BA26" i="2"/>
  <c r="BY26" i="2" s="1"/>
  <c r="AM29" i="2"/>
  <c r="BK29" i="2" s="1"/>
  <c r="AW30" i="2"/>
  <c r="BU30" i="2" s="1"/>
  <c r="AO30" i="2"/>
  <c r="BM30" i="2" s="1"/>
  <c r="AG30" i="2"/>
  <c r="BE30" i="2" s="1"/>
  <c r="AY30" i="2"/>
  <c r="BW30" i="2" s="1"/>
  <c r="AO31" i="2"/>
  <c r="BM31" i="2" s="1"/>
  <c r="AM33" i="2"/>
  <c r="BK33" i="2" s="1"/>
  <c r="AT34" i="2"/>
  <c r="BR34" i="2" s="1"/>
  <c r="AL34" i="2"/>
  <c r="BJ34" i="2" s="1"/>
  <c r="AD34" i="2"/>
  <c r="BB34" i="2" s="1"/>
  <c r="AW34" i="2"/>
  <c r="BU34" i="2" s="1"/>
  <c r="AO34" i="2"/>
  <c r="BM34" i="2" s="1"/>
  <c r="AG34" i="2"/>
  <c r="BE34" i="2" s="1"/>
  <c r="AY34" i="2"/>
  <c r="BW34" i="2" s="1"/>
  <c r="AO35" i="2"/>
  <c r="BM35" i="2" s="1"/>
  <c r="AK19" i="2"/>
  <c r="BI19" i="2" s="1"/>
  <c r="AS19" i="2"/>
  <c r="BQ19" i="2" s="1"/>
  <c r="BA19" i="2"/>
  <c r="BY19" i="2" s="1"/>
  <c r="AG21" i="2"/>
  <c r="BE21" i="2" s="1"/>
  <c r="AO21" i="2"/>
  <c r="BM21" i="2" s="1"/>
  <c r="AW21" i="2"/>
  <c r="BU21" i="2" s="1"/>
  <c r="AK23" i="2"/>
  <c r="BI23" i="2" s="1"/>
  <c r="AS23" i="2"/>
  <c r="BQ23" i="2" s="1"/>
  <c r="AG25" i="2"/>
  <c r="BE25" i="2" s="1"/>
  <c r="AO25" i="2"/>
  <c r="BM25" i="2" s="1"/>
  <c r="AW25" i="2"/>
  <c r="BU25" i="2" s="1"/>
  <c r="AM26" i="2"/>
  <c r="BK26" i="2" s="1"/>
  <c r="AO29" i="2"/>
  <c r="BM29" i="2" s="1"/>
  <c r="AQ31" i="2"/>
  <c r="BO31" i="2" s="1"/>
  <c r="AO33" i="2"/>
  <c r="BM33" i="2" s="1"/>
  <c r="AE19" i="2"/>
  <c r="BC19" i="2" s="1"/>
  <c r="AM19" i="2"/>
  <c r="BK19" i="2" s="1"/>
  <c r="AI21" i="2"/>
  <c r="BG21" i="2" s="1"/>
  <c r="AQ21" i="2"/>
  <c r="BO21" i="2" s="1"/>
  <c r="AY21" i="2"/>
  <c r="BW21" i="2" s="1"/>
  <c r="AE23" i="2"/>
  <c r="BC23" i="2" s="1"/>
  <c r="AM23" i="2"/>
  <c r="BK23" i="2" s="1"/>
  <c r="AU23" i="2"/>
  <c r="BS23" i="2" s="1"/>
  <c r="AI25" i="2"/>
  <c r="BG25" i="2" s="1"/>
  <c r="AQ25" i="2"/>
  <c r="BO25" i="2" s="1"/>
  <c r="AY25" i="2"/>
  <c r="BW25" i="2" s="1"/>
  <c r="AT26" i="2"/>
  <c r="BR26" i="2" s="1"/>
  <c r="AQ26" i="2"/>
  <c r="BO26" i="2" s="1"/>
  <c r="AV29" i="2"/>
  <c r="BT29" i="2" s="1"/>
  <c r="AK30" i="2"/>
  <c r="BI30" i="2" s="1"/>
  <c r="AZ31" i="2"/>
  <c r="BX31" i="2" s="1"/>
  <c r="AT33" i="2"/>
  <c r="BR33" i="2" s="1"/>
  <c r="AK34" i="2"/>
  <c r="BI34" i="2" s="1"/>
  <c r="AZ35" i="2"/>
  <c r="BX35" i="2" s="1"/>
  <c r="AJ21" i="2"/>
  <c r="BH21" i="2" s="1"/>
  <c r="AR21" i="2"/>
  <c r="BP21" i="2" s="1"/>
  <c r="AZ21" i="2"/>
  <c r="BX21" i="2" s="1"/>
  <c r="AJ25" i="2"/>
  <c r="BH25" i="2" s="1"/>
  <c r="AR25" i="2"/>
  <c r="BP25" i="2" s="1"/>
  <c r="AZ25" i="2"/>
  <c r="BX25" i="2" s="1"/>
  <c r="AS26" i="2"/>
  <c r="BQ26" i="2" s="1"/>
  <c r="AY29" i="2"/>
  <c r="BW29" i="2" s="1"/>
  <c r="AQ29" i="2"/>
  <c r="BO29" i="2" s="1"/>
  <c r="AI29" i="2"/>
  <c r="BG29" i="2" s="1"/>
  <c r="AW29" i="2"/>
  <c r="BU29" i="2" s="1"/>
  <c r="AU31" i="2"/>
  <c r="BS31" i="2" s="1"/>
  <c r="AM31" i="2"/>
  <c r="BK31" i="2" s="1"/>
  <c r="AE31" i="2"/>
  <c r="BC31" i="2" s="1"/>
  <c r="AY31" i="2"/>
  <c r="BW31" i="2" s="1"/>
  <c r="AV33" i="2"/>
  <c r="BT33" i="2" s="1"/>
  <c r="AN33" i="2"/>
  <c r="BL33" i="2" s="1"/>
  <c r="AF33" i="2"/>
  <c r="BD33" i="2" s="1"/>
  <c r="AY33" i="2"/>
  <c r="BW33" i="2" s="1"/>
  <c r="AQ33" i="2"/>
  <c r="BO33" i="2" s="1"/>
  <c r="AI33" i="2"/>
  <c r="BG33" i="2" s="1"/>
  <c r="AW33" i="2"/>
  <c r="BU33" i="2" s="1"/>
  <c r="AU35" i="2"/>
  <c r="BS35" i="2" s="1"/>
  <c r="AM35" i="2"/>
  <c r="BK35" i="2" s="1"/>
  <c r="AE35" i="2"/>
  <c r="BC35" i="2" s="1"/>
  <c r="AY35" i="2"/>
  <c r="BW35" i="2" s="1"/>
  <c r="AG19" i="2"/>
  <c r="BE19" i="2" s="1"/>
  <c r="AO19" i="2"/>
  <c r="BM19" i="2" s="1"/>
  <c r="AK21" i="2"/>
  <c r="BI21" i="2" s="1"/>
  <c r="AS21" i="2"/>
  <c r="BQ21" i="2" s="1"/>
  <c r="AG23" i="2"/>
  <c r="BE23" i="2" s="1"/>
  <c r="AO23" i="2"/>
  <c r="BM23" i="2" s="1"/>
  <c r="AK25" i="2"/>
  <c r="BI25" i="2" s="1"/>
  <c r="AS25" i="2"/>
  <c r="BQ25" i="2" s="1"/>
  <c r="AE26" i="2"/>
  <c r="BC26" i="2" s="1"/>
  <c r="AZ27" i="2"/>
  <c r="BX27" i="2" s="1"/>
  <c r="AE29" i="2"/>
  <c r="BC29" i="2" s="1"/>
  <c r="BA29" i="2"/>
  <c r="BY29" i="2" s="1"/>
  <c r="AQ30" i="2"/>
  <c r="BO30" i="2" s="1"/>
  <c r="AG31" i="2"/>
  <c r="BE31" i="2" s="1"/>
  <c r="BA31" i="2"/>
  <c r="BY31" i="2" s="1"/>
  <c r="AE33" i="2"/>
  <c r="BC33" i="2" s="1"/>
  <c r="BA33" i="2"/>
  <c r="BY33" i="2" s="1"/>
  <c r="AQ34" i="2"/>
  <c r="BO34" i="2" s="1"/>
  <c r="AG35" i="2"/>
  <c r="BE35" i="2" s="1"/>
  <c r="BA35" i="2"/>
  <c r="BY35" i="2" s="1"/>
  <c r="AF26" i="2"/>
  <c r="BD26" i="2" s="1"/>
  <c r="AN26" i="2"/>
  <c r="BL26" i="2" s="1"/>
  <c r="AV26" i="2"/>
  <c r="BT26" i="2" s="1"/>
  <c r="AD27" i="2"/>
  <c r="BB27" i="2" s="1"/>
  <c r="AL27" i="2"/>
  <c r="BJ27" i="2" s="1"/>
  <c r="AT27" i="2"/>
  <c r="BR27" i="2" s="1"/>
  <c r="AJ28" i="2"/>
  <c r="BH28" i="2" s="1"/>
  <c r="AR28" i="2"/>
  <c r="BP28" i="2" s="1"/>
  <c r="AZ28" i="2"/>
  <c r="BX28" i="2" s="1"/>
  <c r="AH29" i="2"/>
  <c r="BF29" i="2" s="1"/>
  <c r="AP29" i="2"/>
  <c r="BN29" i="2" s="1"/>
  <c r="AX29" i="2"/>
  <c r="BV29" i="2" s="1"/>
  <c r="AF30" i="2"/>
  <c r="BD30" i="2" s="1"/>
  <c r="AN30" i="2"/>
  <c r="BL30" i="2" s="1"/>
  <c r="AV30" i="2"/>
  <c r="BT30" i="2" s="1"/>
  <c r="AD31" i="2"/>
  <c r="BB31" i="2" s="1"/>
  <c r="AL31" i="2"/>
  <c r="BJ31" i="2" s="1"/>
  <c r="AT31" i="2"/>
  <c r="BR31" i="2" s="1"/>
  <c r="AJ32" i="2"/>
  <c r="BH32" i="2" s="1"/>
  <c r="AR32" i="2"/>
  <c r="BP32" i="2" s="1"/>
  <c r="AZ32" i="2"/>
  <c r="BX32" i="2" s="1"/>
  <c r="AH33" i="2"/>
  <c r="BF33" i="2" s="1"/>
  <c r="AP33" i="2"/>
  <c r="BN33" i="2" s="1"/>
  <c r="AX33" i="2"/>
  <c r="BV33" i="2" s="1"/>
  <c r="AF34" i="2"/>
  <c r="BD34" i="2" s="1"/>
  <c r="AN34" i="2"/>
  <c r="BL34" i="2" s="1"/>
  <c r="AV34" i="2"/>
  <c r="BT34" i="2" s="1"/>
  <c r="AD35" i="2"/>
  <c r="BB35" i="2" s="1"/>
  <c r="AL35" i="2"/>
  <c r="BJ35" i="2" s="1"/>
  <c r="AT35" i="2"/>
  <c r="BR35" i="2" s="1"/>
  <c r="AJ36" i="2"/>
  <c r="BH36" i="2" s="1"/>
  <c r="AR36" i="2"/>
  <c r="BP36" i="2" s="1"/>
  <c r="AZ36" i="2"/>
  <c r="BX36" i="2" s="1"/>
  <c r="AH37" i="2"/>
  <c r="BF37" i="2" s="1"/>
  <c r="AP37" i="2"/>
  <c r="BN37" i="2" s="1"/>
  <c r="AX37" i="2"/>
  <c r="BV37" i="2" s="1"/>
  <c r="AF38" i="2"/>
  <c r="BD38" i="2" s="1"/>
  <c r="AN38" i="2"/>
  <c r="BL38" i="2" s="1"/>
  <c r="AV38" i="2"/>
  <c r="BT38" i="2" s="1"/>
  <c r="AD39" i="2"/>
  <c r="BB39" i="2" s="1"/>
  <c r="AL39" i="2"/>
  <c r="BJ39" i="2" s="1"/>
  <c r="AT39" i="2"/>
  <c r="BR39" i="2" s="1"/>
  <c r="AK28" i="2"/>
  <c r="BI28" i="2" s="1"/>
  <c r="AS28" i="2"/>
  <c r="BQ28" i="2" s="1"/>
  <c r="AK32" i="2"/>
  <c r="BI32" i="2" s="1"/>
  <c r="AS32" i="2"/>
  <c r="BQ32" i="2" s="1"/>
  <c r="BA32" i="2"/>
  <c r="BY32" i="2" s="1"/>
  <c r="AK36" i="2"/>
  <c r="BI36" i="2" s="1"/>
  <c r="AS36" i="2"/>
  <c r="BQ36" i="2" s="1"/>
  <c r="AI37" i="2"/>
  <c r="BG37" i="2" s="1"/>
  <c r="AQ37" i="2"/>
  <c r="BO37" i="2" s="1"/>
  <c r="AY37" i="2"/>
  <c r="BW37" i="2" s="1"/>
  <c r="AG38" i="2"/>
  <c r="BE38" i="2" s="1"/>
  <c r="AO38" i="2"/>
  <c r="BM38" i="2" s="1"/>
  <c r="AW38" i="2"/>
  <c r="BU38" i="2" s="1"/>
  <c r="AE39" i="2"/>
  <c r="BC39" i="2" s="1"/>
  <c r="AM39" i="2"/>
  <c r="BK39" i="2" s="1"/>
  <c r="AU39" i="2"/>
  <c r="BS39" i="2" s="1"/>
  <c r="AH26" i="2"/>
  <c r="BF26" i="2" s="1"/>
  <c r="AP26" i="2"/>
  <c r="BN26" i="2" s="1"/>
  <c r="AX26" i="2"/>
  <c r="BV26" i="2" s="1"/>
  <c r="AN27" i="2"/>
  <c r="BL27" i="2" s="1"/>
  <c r="AV27" i="2"/>
  <c r="BT27" i="2" s="1"/>
  <c r="AD28" i="2"/>
  <c r="BB28" i="2" s="1"/>
  <c r="AL28" i="2"/>
  <c r="BJ28" i="2" s="1"/>
  <c r="AT28" i="2"/>
  <c r="BR28" i="2" s="1"/>
  <c r="AJ29" i="2"/>
  <c r="BH29" i="2" s="1"/>
  <c r="AR29" i="2"/>
  <c r="BP29" i="2" s="1"/>
  <c r="AZ29" i="2"/>
  <c r="BX29" i="2" s="1"/>
  <c r="AH30" i="2"/>
  <c r="BF30" i="2" s="1"/>
  <c r="AP30" i="2"/>
  <c r="BN30" i="2" s="1"/>
  <c r="AX30" i="2"/>
  <c r="BV30" i="2" s="1"/>
  <c r="AF31" i="2"/>
  <c r="BD31" i="2" s="1"/>
  <c r="AN31" i="2"/>
  <c r="BL31" i="2" s="1"/>
  <c r="AV31" i="2"/>
  <c r="BT31" i="2" s="1"/>
  <c r="AD32" i="2"/>
  <c r="BB32" i="2" s="1"/>
  <c r="AL32" i="2"/>
  <c r="BJ32" i="2" s="1"/>
  <c r="AT32" i="2"/>
  <c r="BR32" i="2" s="1"/>
  <c r="AJ33" i="2"/>
  <c r="BH33" i="2" s="1"/>
  <c r="AR33" i="2"/>
  <c r="BP33" i="2" s="1"/>
  <c r="AZ33" i="2"/>
  <c r="BX33" i="2" s="1"/>
  <c r="AH34" i="2"/>
  <c r="BF34" i="2" s="1"/>
  <c r="AP34" i="2"/>
  <c r="BN34" i="2" s="1"/>
  <c r="AX34" i="2"/>
  <c r="BV34" i="2" s="1"/>
  <c r="AF35" i="2"/>
  <c r="BD35" i="2" s="1"/>
  <c r="AN35" i="2"/>
  <c r="BL35" i="2" s="1"/>
  <c r="AV35" i="2"/>
  <c r="BT35" i="2" s="1"/>
  <c r="AD36" i="2"/>
  <c r="BB36" i="2" s="1"/>
  <c r="AL36" i="2"/>
  <c r="BJ36" i="2" s="1"/>
  <c r="AT36" i="2"/>
  <c r="BR36" i="2" s="1"/>
  <c r="AJ37" i="2"/>
  <c r="BH37" i="2" s="1"/>
  <c r="AR37" i="2"/>
  <c r="BP37" i="2" s="1"/>
  <c r="AZ37" i="2"/>
  <c r="BX37" i="2" s="1"/>
  <c r="AH38" i="2"/>
  <c r="BF38" i="2" s="1"/>
  <c r="AP38" i="2"/>
  <c r="BN38" i="2" s="1"/>
  <c r="AX38" i="2"/>
  <c r="BV38" i="2" s="1"/>
  <c r="AF39" i="2"/>
  <c r="BD39" i="2" s="1"/>
  <c r="AN39" i="2"/>
  <c r="BL39" i="2" s="1"/>
  <c r="AV39" i="2"/>
  <c r="BT39" i="2" s="1"/>
  <c r="AK37" i="2"/>
  <c r="BI37" i="2" s="1"/>
  <c r="AS37" i="2"/>
  <c r="BQ37" i="2" s="1"/>
  <c r="AI38" i="2"/>
  <c r="BG38" i="2" s="1"/>
  <c r="AQ38" i="2"/>
  <c r="BO38" i="2" s="1"/>
  <c r="AY38" i="2"/>
  <c r="BW38" i="2" s="1"/>
  <c r="AG39" i="2"/>
  <c r="BE39" i="2" s="1"/>
  <c r="AO39" i="2"/>
  <c r="BM39" i="2" s="1"/>
  <c r="AW39" i="2"/>
  <c r="BU39" i="2" s="1"/>
  <c r="AJ26" i="2"/>
  <c r="BH26" i="2" s="1"/>
  <c r="AR26" i="2"/>
  <c r="BP26" i="2" s="1"/>
  <c r="AZ26" i="2"/>
  <c r="BX26" i="2" s="1"/>
  <c r="AP27" i="2"/>
  <c r="BN27" i="2" s="1"/>
  <c r="AX27" i="2"/>
  <c r="BV27" i="2" s="1"/>
  <c r="AF28" i="2"/>
  <c r="BD28" i="2" s="1"/>
  <c r="AN28" i="2"/>
  <c r="BL28" i="2" s="1"/>
  <c r="AV28" i="2"/>
  <c r="BT28" i="2" s="1"/>
  <c r="AD29" i="2"/>
  <c r="BB29" i="2" s="1"/>
  <c r="AL29" i="2"/>
  <c r="BJ29" i="2" s="1"/>
  <c r="AT29" i="2"/>
  <c r="BR29" i="2" s="1"/>
  <c r="AJ30" i="2"/>
  <c r="BH30" i="2" s="1"/>
  <c r="AR30" i="2"/>
  <c r="BP30" i="2" s="1"/>
  <c r="AZ30" i="2"/>
  <c r="BX30" i="2" s="1"/>
  <c r="AH31" i="2"/>
  <c r="BF31" i="2" s="1"/>
  <c r="AP31" i="2"/>
  <c r="BN31" i="2" s="1"/>
  <c r="AX31" i="2"/>
  <c r="BV31" i="2" s="1"/>
  <c r="AF32" i="2"/>
  <c r="BD32" i="2" s="1"/>
  <c r="AN32" i="2"/>
  <c r="BL32" i="2" s="1"/>
  <c r="AV32" i="2"/>
  <c r="BT32" i="2" s="1"/>
  <c r="AD33" i="2"/>
  <c r="BB33" i="2" s="1"/>
  <c r="AL33" i="2"/>
  <c r="BJ33" i="2" s="1"/>
  <c r="AJ34" i="2"/>
  <c r="BH34" i="2" s="1"/>
  <c r="AR34" i="2"/>
  <c r="BP34" i="2" s="1"/>
  <c r="AH35" i="2"/>
  <c r="BF35" i="2" s="1"/>
  <c r="AP35" i="2"/>
  <c r="BN35" i="2" s="1"/>
  <c r="AX35" i="2"/>
  <c r="BV35" i="2" s="1"/>
  <c r="AF36" i="2"/>
  <c r="BD36" i="2" s="1"/>
  <c r="AN36" i="2"/>
  <c r="BL36" i="2" s="1"/>
  <c r="AV36" i="2"/>
  <c r="BT36" i="2" s="1"/>
  <c r="AD37" i="2"/>
  <c r="BB37" i="2" s="1"/>
  <c r="AL37" i="2"/>
  <c r="BJ37" i="2" s="1"/>
  <c r="AT37" i="2"/>
  <c r="BR37" i="2" s="1"/>
  <c r="AJ38" i="2"/>
  <c r="BH38" i="2" s="1"/>
  <c r="AR38" i="2"/>
  <c r="BP38" i="2" s="1"/>
  <c r="AZ38" i="2"/>
  <c r="BX38" i="2" s="1"/>
  <c r="AH39" i="2"/>
  <c r="BF39" i="2" s="1"/>
  <c r="AP39" i="2"/>
  <c r="BN39" i="2" s="1"/>
  <c r="AX39" i="2"/>
  <c r="BV39" i="2" s="1"/>
  <c r="AK38" i="2"/>
  <c r="BI38" i="2" s="1"/>
  <c r="AS38" i="2"/>
  <c r="BQ38" i="2" s="1"/>
  <c r="AI39" i="2"/>
  <c r="BG39" i="2" s="1"/>
  <c r="AQ39" i="2"/>
  <c r="BO39" i="2" s="1"/>
  <c r="AY39" i="2"/>
  <c r="BW39" i="2" s="1"/>
  <c r="AD26" i="2"/>
  <c r="BB26" i="2" s="1"/>
  <c r="AL26" i="2"/>
  <c r="BJ26" i="2" s="1"/>
  <c r="AJ27" i="2"/>
  <c r="BH27" i="2" s="1"/>
  <c r="AR27" i="2"/>
  <c r="BP27" i="2" s="1"/>
  <c r="AH28" i="2"/>
  <c r="BF28" i="2" s="1"/>
  <c r="AP28" i="2"/>
  <c r="BN28" i="2" s="1"/>
  <c r="AF29" i="2"/>
  <c r="BD29" i="2" s="1"/>
  <c r="AN29" i="2"/>
  <c r="BL29" i="2" s="1"/>
  <c r="AD30" i="2"/>
  <c r="BB30" i="2" s="1"/>
  <c r="AL30" i="2"/>
  <c r="BJ30" i="2" s="1"/>
  <c r="AJ31" i="2"/>
  <c r="BH31" i="2" s="1"/>
  <c r="AR31" i="2"/>
  <c r="BP31" i="2" s="1"/>
  <c r="AH32" i="2"/>
  <c r="BF32" i="2" s="1"/>
  <c r="AJ35" i="2"/>
  <c r="BH35" i="2" s="1"/>
  <c r="AR35" i="2"/>
  <c r="BP35" i="2" s="1"/>
  <c r="AH36" i="2"/>
  <c r="BF36" i="2" s="1"/>
  <c r="AP36" i="2"/>
  <c r="BN36" i="2" s="1"/>
  <c r="AF37" i="2"/>
  <c r="BD37" i="2" s="1"/>
  <c r="AN37" i="2"/>
  <c r="BL37" i="2" s="1"/>
  <c r="AV37" i="2"/>
  <c r="BT37" i="2" s="1"/>
  <c r="AD38" i="2"/>
  <c r="BB38" i="2" s="1"/>
  <c r="AL38" i="2"/>
  <c r="BJ38" i="2" s="1"/>
  <c r="AT38" i="2"/>
  <c r="BR38" i="2" s="1"/>
  <c r="AJ39" i="2"/>
  <c r="BH39" i="2" s="1"/>
  <c r="AR39" i="2"/>
  <c r="BP39" i="2" s="1"/>
  <c r="AZ39" i="2"/>
  <c r="BX39" i="2" s="1"/>
  <c r="AG37" i="2"/>
  <c r="BE37" i="2" s="1"/>
  <c r="AO37" i="2"/>
  <c r="BM37" i="2" s="1"/>
  <c r="AE38" i="2"/>
  <c r="BC38" i="2" s="1"/>
  <c r="AM38" i="2"/>
  <c r="BK38" i="2" s="1"/>
  <c r="AK39" i="2"/>
  <c r="BI39" i="2" s="1"/>
  <c r="AS39" i="2"/>
  <c r="BQ39" i="2" s="1"/>
</calcChain>
</file>

<file path=xl/sharedStrings.xml><?xml version="1.0" encoding="utf-8"?>
<sst xmlns="http://schemas.openxmlformats.org/spreadsheetml/2006/main" count="167" uniqueCount="118">
  <si>
    <t>brand</t>
  </si>
  <si>
    <t>category</t>
  </si>
  <si>
    <t>type</t>
  </si>
  <si>
    <t>mean</t>
  </si>
  <si>
    <t>sd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</si>
  <si>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</si>
  <si>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</si>
  <si>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</si>
  <si>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</si>
  <si>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</si>
  <si>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</si>
  <si>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</si>
  <si>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</si>
  <si>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</si>
  <si>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</si>
  <si>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</si>
  <si>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</si>
  <si>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</si>
  <si>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</si>
  <si>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</si>
  <si>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</si>
  <si>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</si>
  <si>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</si>
  <si>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</si>
  <si>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</si>
  <si>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</si>
  <si>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</si>
  <si>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</si>
  <si>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</si>
  <si>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ifelse1</t>
  </si>
  <si>
    <t>ifelse2</t>
  </si>
  <si>
    <t>ifelse3</t>
  </si>
  <si>
    <t>ifelse4</t>
  </si>
  <si>
    <t>ifelse5</t>
  </si>
  <si>
    <t>ifelse6</t>
  </si>
  <si>
    <t>ifelse7</t>
  </si>
  <si>
    <t>ifelse8</t>
  </si>
  <si>
    <t>ifelse9</t>
  </si>
  <si>
    <t>ifelse10</t>
  </si>
  <si>
    <t>ifelse11</t>
  </si>
  <si>
    <t>ifelse12</t>
  </si>
  <si>
    <t>ifelse13</t>
  </si>
  <si>
    <t>ifelse14</t>
  </si>
  <si>
    <t>ifelse15</t>
  </si>
  <si>
    <t>ifelse16</t>
  </si>
  <si>
    <t>ifelse17</t>
  </si>
  <si>
    <t>ifelse18</t>
  </si>
  <si>
    <t>ifelse19</t>
  </si>
  <si>
    <t>ifelse20</t>
  </si>
  <si>
    <t>ifelse21</t>
  </si>
  <si>
    <t>ifelse22</t>
  </si>
  <si>
    <t>ifelse23</t>
  </si>
  <si>
    <t>ifelse24</t>
  </si>
  <si>
    <t>Pop Mart (Labubu)</t>
  </si>
  <si>
    <t>Accessories</t>
  </si>
  <si>
    <t>Toy</t>
  </si>
  <si>
    <t>Miu Miu</t>
  </si>
  <si>
    <t>Eyewear</t>
  </si>
  <si>
    <t>SKIMS</t>
  </si>
  <si>
    <t>Clothes</t>
  </si>
  <si>
    <t>Balenciaga</t>
  </si>
  <si>
    <t>Acne Studios</t>
  </si>
  <si>
    <t>NINJA</t>
  </si>
  <si>
    <t>Appliance</t>
  </si>
  <si>
    <t>Electronics</t>
  </si>
  <si>
    <t>American Eagle</t>
  </si>
  <si>
    <t>Jeans</t>
  </si>
  <si>
    <t>GAP</t>
  </si>
  <si>
    <t>Jet2</t>
  </si>
  <si>
    <t>Travel</t>
  </si>
  <si>
    <t>Airline</t>
  </si>
  <si>
    <t>Duolingo</t>
  </si>
  <si>
    <t>Service</t>
  </si>
  <si>
    <t>App</t>
  </si>
  <si>
    <t>Dunkin'</t>
  </si>
  <si>
    <t>Food</t>
  </si>
  <si>
    <t>Desserts</t>
  </si>
  <si>
    <t>Mattel</t>
  </si>
  <si>
    <t>Rhode</t>
  </si>
  <si>
    <t>Cosmetics</t>
  </si>
  <si>
    <t>Phone case</t>
  </si>
  <si>
    <t>Medicube</t>
  </si>
  <si>
    <t>Skincare</t>
  </si>
  <si>
    <t>VT COSMETICS</t>
  </si>
  <si>
    <t>Dyson</t>
  </si>
  <si>
    <t>Spotify</t>
  </si>
  <si>
    <t>Rare Beauty</t>
  </si>
  <si>
    <t>Kylie Cosmetics</t>
  </si>
  <si>
    <t>Nike, SKIMS</t>
  </si>
  <si>
    <t>Sportswear</t>
  </si>
  <si>
    <t>Cracker Barrel</t>
  </si>
  <si>
    <t>Restaurant</t>
  </si>
  <si>
    <t>Amazon</t>
  </si>
  <si>
    <t>Marketplace</t>
  </si>
  <si>
    <t>L’Oréal</t>
  </si>
  <si>
    <t>Swatch</t>
  </si>
  <si>
    <t>Watches</t>
  </si>
  <si>
    <t>Sanex</t>
  </si>
  <si>
    <t>E.l.f. Cosmetics</t>
  </si>
  <si>
    <t>Stanley</t>
  </si>
  <si>
    <t>Cup</t>
  </si>
  <si>
    <t>Maison Van Cleef &amp; Arples</t>
  </si>
  <si>
    <t>Bracelet</t>
  </si>
  <si>
    <t>VeriSource</t>
  </si>
  <si>
    <t>Quaker Oats</t>
  </si>
  <si>
    <t>Pre-made food</t>
  </si>
  <si>
    <t>Qatar Airways</t>
  </si>
  <si>
    <t>HYBE</t>
  </si>
  <si>
    <t>Entertainment</t>
  </si>
  <si>
    <t>Music</t>
  </si>
  <si>
    <t>HBO Max</t>
  </si>
  <si>
    <t>Streaming</t>
  </si>
  <si>
    <t>Fix Dessert Chocolatier</t>
  </si>
  <si>
    <t>Four Seasons Resort Koh Samui</t>
  </si>
  <si>
    <t>Hotel</t>
  </si>
  <si>
    <t>Xiaomi</t>
  </si>
  <si>
    <t>Huawei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</si>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</sst>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L6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" width="20.77734375" customWidth="1"/>
  </cols>
  <sheetData>
    <row r="1" spans="1:90" x14ac:dyDescent="0.25">
      <c r="A1" s="1" t="s">
        <v>0</v>
      </c>
      <c r="B1" s="1" t="s">
        <v>1</v>
      </c>
      <c r="C1" s="1" t="s">
        <v>2</v>
      </c>
      <c r="D1" s="2">
        <v>45261</v>
      </c>
      <c r="E1" s="2">
        <v>45292</v>
      </c>
      <c r="F1" s="2">
        <v>45323</v>
      </c>
      <c r="G1" s="2">
        <v>45352</v>
      </c>
      <c r="H1" s="2">
        <v>45383</v>
      </c>
      <c r="I1" s="2">
        <v>45413</v>
      </c>
      <c r="J1" s="2">
        <v>45444</v>
      </c>
      <c r="K1" s="2">
        <v>45474</v>
      </c>
      <c r="L1" s="2">
        <v>45505</v>
      </c>
      <c r="M1" s="2">
        <v>45536</v>
      </c>
      <c r="N1" s="2">
        <v>45566</v>
      </c>
      <c r="O1" s="2">
        <v>45597</v>
      </c>
      <c r="P1" s="2">
        <v>45627</v>
      </c>
      <c r="Q1" s="2">
        <v>45658</v>
      </c>
      <c r="R1" s="2">
        <v>45689</v>
      </c>
      <c r="S1" s="2">
        <v>45717</v>
      </c>
      <c r="T1" s="2">
        <v>45748</v>
      </c>
      <c r="U1" s="2">
        <v>45778</v>
      </c>
      <c r="V1" s="2">
        <v>45809</v>
      </c>
      <c r="W1" s="2">
        <v>45839</v>
      </c>
      <c r="X1" s="2">
        <v>45870</v>
      </c>
      <c r="Y1" s="2">
        <v>45901</v>
      </c>
      <c r="Z1" s="2">
        <v>45931</v>
      </c>
      <c r="AA1" s="2">
        <v>45962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 t="s">
        <v>50</v>
      </c>
      <c r="BX1" s="1" t="s">
        <v>51</v>
      </c>
      <c r="BY1" s="1" t="s">
        <v>52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5">
      <c r="A2" s="1" t="s">
        <v>53</v>
      </c>
      <c r="B2" s="1" t="s">
        <v>54</v>
      </c>
      <c r="C2" s="1" t="s">
        <v>55</v>
      </c>
      <c r="D2" s="1">
        <v>53630</v>
      </c>
      <c r="E2" s="1">
        <v>76310</v>
      </c>
      <c r="F2" s="1">
        <v>131210</v>
      </c>
      <c r="G2" s="1">
        <v>250770</v>
      </c>
      <c r="H2" s="1">
        <v>950880</v>
      </c>
      <c r="I2" s="1">
        <v>758230</v>
      </c>
      <c r="J2" s="1">
        <v>839930</v>
      </c>
      <c r="K2" s="1">
        <v>1661390</v>
      </c>
      <c r="L2" s="1">
        <v>3481660</v>
      </c>
      <c r="M2" s="1">
        <v>9310410</v>
      </c>
      <c r="N2" s="1">
        <v>24902250</v>
      </c>
      <c r="O2" s="1">
        <v>28495240</v>
      </c>
      <c r="P2" s="1">
        <v>28650030</v>
      </c>
      <c r="Q2" s="1">
        <v>29203210</v>
      </c>
      <c r="R2" s="1">
        <v>24249080</v>
      </c>
      <c r="S2" s="1">
        <v>29935460</v>
      </c>
      <c r="T2" s="1">
        <v>31730780</v>
      </c>
      <c r="U2" s="1">
        <v>50419590</v>
      </c>
      <c r="V2" s="1">
        <v>109336910</v>
      </c>
      <c r="W2" s="1">
        <v>114761480</v>
      </c>
      <c r="X2" s="1">
        <v>80556700</v>
      </c>
      <c r="Y2" s="1">
        <v>52961940</v>
      </c>
      <c r="Z2" s="1">
        <v>41099020</v>
      </c>
      <c r="AA2" s="1">
        <v>27905810</v>
      </c>
      <c r="AB2" s="3">
        <f t="shared" ref="AB2:AB39" si="0">AVERAGE(D2:AA2)</f>
        <v>28821746.666666668</v>
      </c>
      <c r="AC2" s="1">
        <f t="shared" ref="AC2:AC39" si="1">STDEV(D2:AA2)</f>
        <v>33096075.392688457</v>
      </c>
      <c r="AD2" s="1">
        <f t="shared" ref="AD2:BA2" si="2">(D2-$AB2)/$AC2</f>
        <v>-0.86923045482976158</v>
      </c>
      <c r="AE2" s="1">
        <f t="shared" si="2"/>
        <v>-0.86854517720300672</v>
      </c>
      <c r="AF2" s="1">
        <f t="shared" si="2"/>
        <v>-0.86688637024935422</v>
      </c>
      <c r="AG2" s="1">
        <f t="shared" si="2"/>
        <v>-0.8632738573280665</v>
      </c>
      <c r="AH2" s="1">
        <f t="shared" si="2"/>
        <v>-0.84211998963550416</v>
      </c>
      <c r="AI2" s="1">
        <f t="shared" si="2"/>
        <v>-0.8479409215047421</v>
      </c>
      <c r="AJ2" s="1">
        <f t="shared" si="2"/>
        <v>-0.84547235086515349</v>
      </c>
      <c r="AK2" s="1">
        <f t="shared" si="2"/>
        <v>-0.82065188528869804</v>
      </c>
      <c r="AL2" s="1">
        <f t="shared" si="2"/>
        <v>-0.76565231272904244</v>
      </c>
      <c r="AM2" s="1">
        <f t="shared" si="2"/>
        <v>-0.58953626480368393</v>
      </c>
      <c r="AN2" s="1">
        <f t="shared" si="2"/>
        <v>-0.11842783835126741</v>
      </c>
      <c r="AO2" s="1">
        <f t="shared" si="2"/>
        <v>-9.8654194732345629E-3</v>
      </c>
      <c r="AP2" s="1">
        <f t="shared" si="2"/>
        <v>-5.1884298856958531E-3</v>
      </c>
      <c r="AQ2" s="1">
        <f t="shared" si="2"/>
        <v>1.152593861378514E-2</v>
      </c>
      <c r="AR2" s="1">
        <f t="shared" si="2"/>
        <v>-0.13816341099092538</v>
      </c>
      <c r="AS2" s="1">
        <f t="shared" si="2"/>
        <v>3.3650918428212558E-2</v>
      </c>
      <c r="AT2" s="1">
        <f t="shared" si="2"/>
        <v>8.7896625168312009E-2</v>
      </c>
      <c r="AU2" s="1">
        <f t="shared" si="2"/>
        <v>0.65258019499510511</v>
      </c>
      <c r="AV2" s="1">
        <f t="shared" si="2"/>
        <v>2.432770725169445</v>
      </c>
      <c r="AW2" s="1">
        <f t="shared" si="2"/>
        <v>2.5966744489686238</v>
      </c>
      <c r="AX2" s="1">
        <f t="shared" si="2"/>
        <v>1.5631748695122489</v>
      </c>
      <c r="AY2" s="1">
        <f t="shared" si="2"/>
        <v>0.72939746017941309</v>
      </c>
      <c r="AZ2" s="1">
        <f t="shared" si="2"/>
        <v>0.37095858610612215</v>
      </c>
      <c r="BA2" s="1">
        <f t="shared" si="2"/>
        <v>-2.7675084003132754E-2</v>
      </c>
      <c r="BB2" s="1">
        <f t="shared" ref="BB2:BY2" si="3">IF(AD2&gt;=1,1,0)</f>
        <v>0</v>
      </c>
      <c r="BC2" s="1">
        <f t="shared" si="3"/>
        <v>0</v>
      </c>
      <c r="BD2" s="1">
        <f t="shared" si="3"/>
        <v>0</v>
      </c>
      <c r="BE2" s="1">
        <f t="shared" si="3"/>
        <v>0</v>
      </c>
      <c r="BF2" s="1">
        <f t="shared" si="3"/>
        <v>0</v>
      </c>
      <c r="BG2" s="1">
        <f t="shared" si="3"/>
        <v>0</v>
      </c>
      <c r="BH2" s="1">
        <f t="shared" si="3"/>
        <v>0</v>
      </c>
      <c r="BI2" s="1">
        <f t="shared" si="3"/>
        <v>0</v>
      </c>
      <c r="BJ2" s="1">
        <f t="shared" si="3"/>
        <v>0</v>
      </c>
      <c r="BK2" s="1">
        <f t="shared" si="3"/>
        <v>0</v>
      </c>
      <c r="BL2" s="1">
        <f t="shared" si="3"/>
        <v>0</v>
      </c>
      <c r="BM2" s="1">
        <f t="shared" si="3"/>
        <v>0</v>
      </c>
      <c r="BN2" s="1">
        <f t="shared" si="3"/>
        <v>0</v>
      </c>
      <c r="BO2" s="1">
        <f t="shared" si="3"/>
        <v>0</v>
      </c>
      <c r="BP2" s="1">
        <f t="shared" si="3"/>
        <v>0</v>
      </c>
      <c r="BQ2" s="1">
        <f t="shared" si="3"/>
        <v>0</v>
      </c>
      <c r="BR2" s="1">
        <f t="shared" si="3"/>
        <v>0</v>
      </c>
      <c r="BS2" s="1">
        <f t="shared" si="3"/>
        <v>0</v>
      </c>
      <c r="BT2" s="1">
        <f t="shared" si="3"/>
        <v>1</v>
      </c>
      <c r="BU2" s="1">
        <f t="shared" si="3"/>
        <v>1</v>
      </c>
      <c r="BV2" s="1">
        <f t="shared" si="3"/>
        <v>1</v>
      </c>
      <c r="BW2" s="1">
        <f t="shared" si="3"/>
        <v>0</v>
      </c>
      <c r="BX2" s="1">
        <f t="shared" si="3"/>
        <v>0</v>
      </c>
      <c r="BY2" s="1">
        <f t="shared" si="3"/>
        <v>0</v>
      </c>
    </row>
    <row r="3" spans="1:90" x14ac:dyDescent="0.25">
      <c r="A3" s="1" t="s">
        <v>56</v>
      </c>
      <c r="B3" s="1" t="s">
        <v>54</v>
      </c>
      <c r="C3" s="1" t="s">
        <v>57</v>
      </c>
      <c r="D3" s="1">
        <v>3041810</v>
      </c>
      <c r="E3" s="1">
        <v>3743280</v>
      </c>
      <c r="F3" s="1">
        <v>3731610</v>
      </c>
      <c r="G3" s="1">
        <v>4368820</v>
      </c>
      <c r="H3" s="1">
        <v>5564160</v>
      </c>
      <c r="I3" s="1">
        <v>5943940</v>
      </c>
      <c r="J3" s="1">
        <v>5568430</v>
      </c>
      <c r="K3" s="1">
        <v>5880300</v>
      </c>
      <c r="L3" s="1">
        <v>5843390</v>
      </c>
      <c r="M3" s="1">
        <v>6268020</v>
      </c>
      <c r="N3" s="1">
        <v>6809440</v>
      </c>
      <c r="O3" s="1">
        <v>7282610</v>
      </c>
      <c r="P3" s="1">
        <v>6997900</v>
      </c>
      <c r="Q3" s="1">
        <v>7456720</v>
      </c>
      <c r="R3" s="1">
        <v>6671560</v>
      </c>
      <c r="S3" s="1">
        <v>8097980</v>
      </c>
      <c r="T3" s="1">
        <v>8211470</v>
      </c>
      <c r="U3" s="1">
        <v>7837850</v>
      </c>
      <c r="V3" s="1">
        <v>7589470</v>
      </c>
      <c r="W3" s="1">
        <v>7982540</v>
      </c>
      <c r="X3" s="1">
        <v>9210090</v>
      </c>
      <c r="Y3" s="1">
        <v>8537740</v>
      </c>
      <c r="Z3" s="1">
        <v>8128520</v>
      </c>
      <c r="AA3" s="1">
        <v>8097840</v>
      </c>
      <c r="AB3" s="3">
        <f t="shared" si="0"/>
        <v>6619395.416666667</v>
      </c>
      <c r="AC3" s="1">
        <f t="shared" si="1"/>
        <v>1662954.0993272741</v>
      </c>
      <c r="AD3" s="1">
        <f t="shared" ref="AD3:BA3" si="4">(D3-$AB3)/$AC3</f>
        <v>-2.1513434544669221</v>
      </c>
      <c r="AE3" s="1">
        <f t="shared" si="4"/>
        <v>-1.7295218297547486</v>
      </c>
      <c r="AF3" s="1">
        <f t="shared" si="4"/>
        <v>-1.7365394618136978</v>
      </c>
      <c r="AG3" s="1">
        <f t="shared" si="4"/>
        <v>-1.3533599138888484</v>
      </c>
      <c r="AH3" s="1">
        <f t="shared" si="4"/>
        <v>-0.63455474633578179</v>
      </c>
      <c r="AI3" s="1">
        <f t="shared" si="4"/>
        <v>-0.40617802796836872</v>
      </c>
      <c r="AJ3" s="1">
        <f t="shared" si="4"/>
        <v>-0.63198702663640627</v>
      </c>
      <c r="AK3" s="1">
        <f t="shared" si="4"/>
        <v>-0.44444727426070157</v>
      </c>
      <c r="AL3" s="1">
        <f t="shared" si="4"/>
        <v>-0.46664271550284497</v>
      </c>
      <c r="AM3" s="1">
        <f t="shared" si="4"/>
        <v>-0.21129592019936763</v>
      </c>
      <c r="AN3" s="1">
        <f t="shared" si="4"/>
        <v>0.11428131624932583</v>
      </c>
      <c r="AO3" s="1">
        <f t="shared" si="4"/>
        <v>0.39881713127357371</v>
      </c>
      <c r="AP3" s="1">
        <f t="shared" si="4"/>
        <v>0.22760975993652019</v>
      </c>
      <c r="AQ3" s="1">
        <f t="shared" si="4"/>
        <v>0.50351635302024367</v>
      </c>
      <c r="AR3" s="1">
        <f t="shared" si="4"/>
        <v>3.1368624879324999E-2</v>
      </c>
      <c r="AS3" s="1">
        <f t="shared" si="4"/>
        <v>0.8891313259526975</v>
      </c>
      <c r="AT3" s="1">
        <f t="shared" si="4"/>
        <v>0.957377346721347</v>
      </c>
      <c r="AU3" s="1">
        <f t="shared" si="4"/>
        <v>0.73270487972352483</v>
      </c>
      <c r="AV3" s="1">
        <f t="shared" si="4"/>
        <v>0.58334417271394545</v>
      </c>
      <c r="AW3" s="1">
        <f t="shared" si="4"/>
        <v>0.81971269314334949</v>
      </c>
      <c r="AX3" s="1">
        <f t="shared" si="4"/>
        <v>1.5578870062507222</v>
      </c>
      <c r="AY3" s="1">
        <f t="shared" si="4"/>
        <v>1.1535763880129786</v>
      </c>
      <c r="AZ3" s="1">
        <f t="shared" si="4"/>
        <v>0.90749623452855932</v>
      </c>
      <c r="BA3" s="1">
        <f t="shared" si="4"/>
        <v>0.88904713842157035</v>
      </c>
      <c r="BB3" s="1">
        <f t="shared" ref="BB3:BY3" si="5">IF(AD3&gt;=1,1,0)</f>
        <v>0</v>
      </c>
      <c r="BC3" s="1">
        <f t="shared" si="5"/>
        <v>0</v>
      </c>
      <c r="BD3" s="1">
        <f t="shared" si="5"/>
        <v>0</v>
      </c>
      <c r="BE3" s="1">
        <f t="shared" si="5"/>
        <v>0</v>
      </c>
      <c r="BF3" s="1">
        <f t="shared" si="5"/>
        <v>0</v>
      </c>
      <c r="BG3" s="1">
        <f t="shared" si="5"/>
        <v>0</v>
      </c>
      <c r="BH3" s="1">
        <f t="shared" si="5"/>
        <v>0</v>
      </c>
      <c r="BI3" s="1">
        <f t="shared" si="5"/>
        <v>0</v>
      </c>
      <c r="BJ3" s="1">
        <f t="shared" si="5"/>
        <v>0</v>
      </c>
      <c r="BK3" s="1">
        <f t="shared" si="5"/>
        <v>0</v>
      </c>
      <c r="BL3" s="1">
        <f t="shared" si="5"/>
        <v>0</v>
      </c>
      <c r="BM3" s="1">
        <f t="shared" si="5"/>
        <v>0</v>
      </c>
      <c r="BN3" s="1">
        <f t="shared" si="5"/>
        <v>0</v>
      </c>
      <c r="BO3" s="1">
        <f t="shared" si="5"/>
        <v>0</v>
      </c>
      <c r="BP3" s="1">
        <f t="shared" si="5"/>
        <v>0</v>
      </c>
      <c r="BQ3" s="1">
        <f t="shared" si="5"/>
        <v>0</v>
      </c>
      <c r="BR3" s="1">
        <f t="shared" si="5"/>
        <v>0</v>
      </c>
      <c r="BS3" s="1">
        <f t="shared" si="5"/>
        <v>0</v>
      </c>
      <c r="BT3" s="1">
        <f t="shared" si="5"/>
        <v>0</v>
      </c>
      <c r="BU3" s="1">
        <f t="shared" si="5"/>
        <v>0</v>
      </c>
      <c r="BV3" s="1">
        <f t="shared" si="5"/>
        <v>1</v>
      </c>
      <c r="BW3" s="1">
        <f t="shared" si="5"/>
        <v>1</v>
      </c>
      <c r="BX3" s="1">
        <f t="shared" si="5"/>
        <v>0</v>
      </c>
      <c r="BY3" s="1">
        <f t="shared" si="5"/>
        <v>0</v>
      </c>
    </row>
    <row r="4" spans="1:90" x14ac:dyDescent="0.25">
      <c r="A4" s="1" t="s">
        <v>58</v>
      </c>
      <c r="B4" s="1" t="s">
        <v>59</v>
      </c>
      <c r="C4" s="1" t="s">
        <v>54</v>
      </c>
      <c r="D4" s="1">
        <v>6293490</v>
      </c>
      <c r="E4" s="1">
        <v>6117460</v>
      </c>
      <c r="F4" s="1">
        <v>4956380</v>
      </c>
      <c r="G4" s="1">
        <v>4811510</v>
      </c>
      <c r="H4" s="1">
        <v>4210210</v>
      </c>
      <c r="I4" s="1">
        <v>4070820</v>
      </c>
      <c r="J4" s="1">
        <v>4326050</v>
      </c>
      <c r="K4" s="1">
        <v>4991210</v>
      </c>
      <c r="L4" s="1">
        <v>4031310</v>
      </c>
      <c r="M4" s="1">
        <v>3454050</v>
      </c>
      <c r="N4" s="1">
        <v>4103600</v>
      </c>
      <c r="O4" s="1">
        <v>7618670</v>
      </c>
      <c r="P4" s="1">
        <v>7632340</v>
      </c>
      <c r="Q4" s="1">
        <v>5315970</v>
      </c>
      <c r="R4" s="1">
        <v>4305990</v>
      </c>
      <c r="S4" s="1">
        <v>4145180</v>
      </c>
      <c r="T4" s="1">
        <v>4003660</v>
      </c>
      <c r="U4" s="1">
        <v>4934910</v>
      </c>
      <c r="V4" s="1">
        <v>3536430</v>
      </c>
      <c r="W4" s="1">
        <v>4048590</v>
      </c>
      <c r="X4" s="1">
        <v>3606920</v>
      </c>
      <c r="Y4" s="1">
        <v>3643080</v>
      </c>
      <c r="Z4" s="1">
        <v>7248580</v>
      </c>
      <c r="AA4" s="1">
        <v>7590190</v>
      </c>
      <c r="AB4" s="3">
        <f t="shared" si="0"/>
        <v>4958191.666666667</v>
      </c>
      <c r="AC4" s="1">
        <f t="shared" si="1"/>
        <v>1378100.410554694</v>
      </c>
      <c r="AD4" s="1">
        <f t="shared" ref="AD4:BA4" si="6">(D4-$AB4)/$AC4</f>
        <v>0.96894124920539504</v>
      </c>
      <c r="AE4" s="1">
        <f t="shared" si="6"/>
        <v>0.84120745081754988</v>
      </c>
      <c r="AF4" s="1">
        <f t="shared" si="6"/>
        <v>-1.3146115136398297E-3</v>
      </c>
      <c r="AG4" s="1">
        <f t="shared" si="6"/>
        <v>-0.10643757562457055</v>
      </c>
      <c r="AH4" s="1">
        <f t="shared" si="6"/>
        <v>-0.54276282115437413</v>
      </c>
      <c r="AI4" s="1">
        <f t="shared" si="6"/>
        <v>-0.64390929708053302</v>
      </c>
      <c r="AJ4" s="1">
        <f t="shared" si="6"/>
        <v>-0.45870508551131339</v>
      </c>
      <c r="AK4" s="1">
        <f t="shared" si="6"/>
        <v>2.39593088286237E-2</v>
      </c>
      <c r="AL4" s="1">
        <f t="shared" si="6"/>
        <v>-0.67257919638351416</v>
      </c>
      <c r="AM4" s="1">
        <f t="shared" si="6"/>
        <v>-1.0914601397304864</v>
      </c>
      <c r="AN4" s="1">
        <f t="shared" si="6"/>
        <v>-0.62012293162490861</v>
      </c>
      <c r="AO4" s="1">
        <f t="shared" si="6"/>
        <v>1.9305402661207205</v>
      </c>
      <c r="AP4" s="1">
        <f t="shared" si="6"/>
        <v>1.9404597174867479</v>
      </c>
      <c r="AQ4" s="1">
        <f t="shared" si="6"/>
        <v>0.25961702833346156</v>
      </c>
      <c r="AR4" s="1">
        <f t="shared" si="6"/>
        <v>-0.47326135430447464</v>
      </c>
      <c r="AS4" s="1">
        <f t="shared" si="6"/>
        <v>-0.589950964704687</v>
      </c>
      <c r="AT4" s="1">
        <f t="shared" si="6"/>
        <v>-0.69264304643989039</v>
      </c>
      <c r="AU4" s="1">
        <f t="shared" si="6"/>
        <v>-1.6894027814196761E-2</v>
      </c>
      <c r="AV4" s="1">
        <f t="shared" si="6"/>
        <v>-1.0316822023834962</v>
      </c>
      <c r="AW4" s="1">
        <f t="shared" si="6"/>
        <v>-0.66004019714394147</v>
      </c>
      <c r="AX4" s="1">
        <f t="shared" si="6"/>
        <v>-0.98053208337901276</v>
      </c>
      <c r="AY4" s="1">
        <f t="shared" si="6"/>
        <v>-0.95429306645175904</v>
      </c>
      <c r="AZ4" s="1">
        <f t="shared" si="6"/>
        <v>1.6619894427079065</v>
      </c>
      <c r="BA4" s="1">
        <f t="shared" si="6"/>
        <v>1.9098741377443877</v>
      </c>
      <c r="BB4" s="1">
        <f t="shared" ref="BB4:BY4" si="7">IF(AD4&gt;=1,1,0)</f>
        <v>0</v>
      </c>
      <c r="BC4" s="1">
        <f t="shared" si="7"/>
        <v>0</v>
      </c>
      <c r="BD4" s="1">
        <f t="shared" si="7"/>
        <v>0</v>
      </c>
      <c r="BE4" s="1">
        <f t="shared" si="7"/>
        <v>0</v>
      </c>
      <c r="BF4" s="1">
        <f t="shared" si="7"/>
        <v>0</v>
      </c>
      <c r="BG4" s="1">
        <f t="shared" si="7"/>
        <v>0</v>
      </c>
      <c r="BH4" s="1">
        <f t="shared" si="7"/>
        <v>0</v>
      </c>
      <c r="BI4" s="1">
        <f t="shared" si="7"/>
        <v>0</v>
      </c>
      <c r="BJ4" s="1">
        <f t="shared" si="7"/>
        <v>0</v>
      </c>
      <c r="BK4" s="1">
        <f t="shared" si="7"/>
        <v>0</v>
      </c>
      <c r="BL4" s="1">
        <f t="shared" si="7"/>
        <v>0</v>
      </c>
      <c r="BM4" s="1">
        <f t="shared" si="7"/>
        <v>1</v>
      </c>
      <c r="BN4" s="1">
        <f t="shared" si="7"/>
        <v>1</v>
      </c>
      <c r="BO4" s="1">
        <f t="shared" si="7"/>
        <v>0</v>
      </c>
      <c r="BP4" s="1">
        <f t="shared" si="7"/>
        <v>0</v>
      </c>
      <c r="BQ4" s="1">
        <f t="shared" si="7"/>
        <v>0</v>
      </c>
      <c r="BR4" s="1">
        <f t="shared" si="7"/>
        <v>0</v>
      </c>
      <c r="BS4" s="1">
        <f t="shared" si="7"/>
        <v>0</v>
      </c>
      <c r="BT4" s="1">
        <f t="shared" si="7"/>
        <v>0</v>
      </c>
      <c r="BU4" s="1">
        <f t="shared" si="7"/>
        <v>0</v>
      </c>
      <c r="BV4" s="1">
        <f t="shared" si="7"/>
        <v>0</v>
      </c>
      <c r="BW4" s="1">
        <f t="shared" si="7"/>
        <v>0</v>
      </c>
      <c r="BX4" s="1">
        <f t="shared" si="7"/>
        <v>1</v>
      </c>
      <c r="BY4" s="1">
        <f t="shared" si="7"/>
        <v>1</v>
      </c>
    </row>
    <row r="5" spans="1:90" x14ac:dyDescent="0.25">
      <c r="A5" s="1" t="s">
        <v>60</v>
      </c>
      <c r="B5" s="1" t="s">
        <v>59</v>
      </c>
      <c r="C5" s="1" t="s">
        <v>54</v>
      </c>
      <c r="D5" s="1">
        <v>10027850</v>
      </c>
      <c r="E5" s="1">
        <v>9904290</v>
      </c>
      <c r="F5" s="1">
        <v>8825800</v>
      </c>
      <c r="G5" s="1">
        <v>10522290</v>
      </c>
      <c r="H5" s="1">
        <v>9846150</v>
      </c>
      <c r="I5" s="1">
        <v>9634490</v>
      </c>
      <c r="J5" s="1">
        <v>10006390</v>
      </c>
      <c r="K5" s="1">
        <v>9919910</v>
      </c>
      <c r="L5" s="1">
        <v>9280360</v>
      </c>
      <c r="M5" s="1">
        <v>9306030</v>
      </c>
      <c r="N5" s="1">
        <v>9597720</v>
      </c>
      <c r="O5" s="1">
        <v>9709900</v>
      </c>
      <c r="P5" s="1">
        <v>10069320</v>
      </c>
      <c r="Q5" s="1">
        <v>9280020</v>
      </c>
      <c r="R5" s="1">
        <v>7938190</v>
      </c>
      <c r="S5" s="1">
        <v>9833840</v>
      </c>
      <c r="T5" s="1">
        <v>8181520</v>
      </c>
      <c r="U5" s="1">
        <v>8040650</v>
      </c>
      <c r="V5" s="1">
        <v>7038320</v>
      </c>
      <c r="W5" s="1">
        <v>8181790</v>
      </c>
      <c r="X5" s="1">
        <v>8075480</v>
      </c>
      <c r="Y5" s="1">
        <v>7831440</v>
      </c>
      <c r="Z5" s="1">
        <v>8359270</v>
      </c>
      <c r="AA5" s="1">
        <v>8161310</v>
      </c>
      <c r="AB5" s="3">
        <f t="shared" si="0"/>
        <v>9065513.75</v>
      </c>
      <c r="AC5" s="1">
        <f t="shared" si="1"/>
        <v>946772.88940913358</v>
      </c>
      <c r="AD5" s="1">
        <f t="shared" ref="AD5:BA5" si="8">(D5-$AB5)/$AC5</f>
        <v>1.0164383251410793</v>
      </c>
      <c r="AE5" s="1">
        <f t="shared" si="8"/>
        <v>0.88593184213741838</v>
      </c>
      <c r="AF5" s="1">
        <f t="shared" si="8"/>
        <v>-0.25319034024052134</v>
      </c>
      <c r="AG5" s="1">
        <f t="shared" si="8"/>
        <v>1.5386755010582862</v>
      </c>
      <c r="AH5" s="1">
        <f t="shared" si="8"/>
        <v>0.82452323966224161</v>
      </c>
      <c r="AI5" s="1">
        <f t="shared" si="8"/>
        <v>0.60096381757940842</v>
      </c>
      <c r="AJ5" s="1">
        <f t="shared" si="8"/>
        <v>0.99377185439602778</v>
      </c>
      <c r="AK5" s="1">
        <f t="shared" si="8"/>
        <v>0.902429990927619</v>
      </c>
      <c r="AL5" s="1">
        <f t="shared" si="8"/>
        <v>0.22692480150554611</v>
      </c>
      <c r="AM5" s="1">
        <f t="shared" si="8"/>
        <v>0.2540379563995569</v>
      </c>
      <c r="AN5" s="1">
        <f t="shared" si="8"/>
        <v>0.56212662609312958</v>
      </c>
      <c r="AO5" s="1">
        <f t="shared" si="8"/>
        <v>0.6806133310409338</v>
      </c>
      <c r="AP5" s="1">
        <f t="shared" si="8"/>
        <v>1.0602397483375976</v>
      </c>
      <c r="AQ5" s="1">
        <f t="shared" si="8"/>
        <v>0.22656568687118836</v>
      </c>
      <c r="AR5" s="1">
        <f t="shared" si="8"/>
        <v>-1.1907013420119639</v>
      </c>
      <c r="AS5" s="1">
        <f t="shared" si="8"/>
        <v>0.81152117745946506</v>
      </c>
      <c r="AT5" s="1">
        <f t="shared" si="8"/>
        <v>-0.93369144795821823</v>
      </c>
      <c r="AU5" s="1">
        <f t="shared" si="8"/>
        <v>-1.0824810907287403</v>
      </c>
      <c r="AV5" s="1">
        <f t="shared" si="8"/>
        <v>-2.141161595010542</v>
      </c>
      <c r="AW5" s="1">
        <f t="shared" si="8"/>
        <v>-0.93340626868975773</v>
      </c>
      <c r="AX5" s="1">
        <f t="shared" si="8"/>
        <v>-1.0456929650973263</v>
      </c>
      <c r="AY5" s="1">
        <f t="shared" si="8"/>
        <v>-1.3034527750051721</v>
      </c>
      <c r="AZ5" s="1">
        <f t="shared" si="8"/>
        <v>-0.74594842955500751</v>
      </c>
      <c r="BA5" s="1">
        <f t="shared" si="8"/>
        <v>-0.95503764431224858</v>
      </c>
      <c r="BB5" s="1">
        <f t="shared" ref="BB5:BY5" si="9">IF(AD5&gt;=1,1,0)</f>
        <v>1</v>
      </c>
      <c r="BC5" s="1">
        <f t="shared" si="9"/>
        <v>0</v>
      </c>
      <c r="BD5" s="1">
        <f t="shared" si="9"/>
        <v>0</v>
      </c>
      <c r="BE5" s="1">
        <f t="shared" si="9"/>
        <v>1</v>
      </c>
      <c r="BF5" s="1">
        <f t="shared" si="9"/>
        <v>0</v>
      </c>
      <c r="BG5" s="1">
        <f t="shared" si="9"/>
        <v>0</v>
      </c>
      <c r="BH5" s="1">
        <f t="shared" si="9"/>
        <v>0</v>
      </c>
      <c r="BI5" s="1">
        <f t="shared" si="9"/>
        <v>0</v>
      </c>
      <c r="BJ5" s="1">
        <f t="shared" si="9"/>
        <v>0</v>
      </c>
      <c r="BK5" s="1">
        <f t="shared" si="9"/>
        <v>0</v>
      </c>
      <c r="BL5" s="1">
        <f t="shared" si="9"/>
        <v>0</v>
      </c>
      <c r="BM5" s="1">
        <f t="shared" si="9"/>
        <v>0</v>
      </c>
      <c r="BN5" s="1">
        <f t="shared" si="9"/>
        <v>1</v>
      </c>
      <c r="BO5" s="1">
        <f t="shared" si="9"/>
        <v>0</v>
      </c>
      <c r="BP5" s="1">
        <f t="shared" si="9"/>
        <v>0</v>
      </c>
      <c r="BQ5" s="1">
        <f t="shared" si="9"/>
        <v>0</v>
      </c>
      <c r="BR5" s="1">
        <f t="shared" si="9"/>
        <v>0</v>
      </c>
      <c r="BS5" s="1">
        <f t="shared" si="9"/>
        <v>0</v>
      </c>
      <c r="BT5" s="1">
        <f t="shared" si="9"/>
        <v>0</v>
      </c>
      <c r="BU5" s="1">
        <f t="shared" si="9"/>
        <v>0</v>
      </c>
      <c r="BV5" s="1">
        <f t="shared" si="9"/>
        <v>0</v>
      </c>
      <c r="BW5" s="1">
        <f t="shared" si="9"/>
        <v>0</v>
      </c>
      <c r="BX5" s="1">
        <f t="shared" si="9"/>
        <v>0</v>
      </c>
      <c r="BY5" s="1">
        <f t="shared" si="9"/>
        <v>0</v>
      </c>
    </row>
    <row r="6" spans="1:90" x14ac:dyDescent="0.25">
      <c r="A6" s="1" t="s">
        <v>61</v>
      </c>
      <c r="B6" s="1" t="s">
        <v>59</v>
      </c>
      <c r="C6" s="1" t="s">
        <v>54</v>
      </c>
      <c r="D6" s="1">
        <v>3210</v>
      </c>
      <c r="E6" s="1">
        <v>3840</v>
      </c>
      <c r="F6" s="1">
        <v>3880</v>
      </c>
      <c r="G6" s="1">
        <v>4620</v>
      </c>
      <c r="H6" s="1">
        <v>4230</v>
      </c>
      <c r="I6" s="1">
        <v>3900</v>
      </c>
      <c r="J6" s="1">
        <v>4430</v>
      </c>
      <c r="K6" s="1">
        <v>4440</v>
      </c>
      <c r="L6" s="1">
        <v>3760</v>
      </c>
      <c r="M6" s="1">
        <v>5080</v>
      </c>
      <c r="N6" s="1">
        <v>5000</v>
      </c>
      <c r="O6" s="1">
        <v>4690</v>
      </c>
      <c r="P6" s="1">
        <v>3920</v>
      </c>
      <c r="Q6" s="1">
        <v>4610</v>
      </c>
      <c r="R6" s="1">
        <v>4710</v>
      </c>
      <c r="S6" s="1">
        <v>10710</v>
      </c>
      <c r="T6" s="1">
        <v>10410</v>
      </c>
      <c r="U6" s="1">
        <v>7730</v>
      </c>
      <c r="V6" s="1">
        <v>7130</v>
      </c>
      <c r="W6" s="1">
        <v>6170</v>
      </c>
      <c r="X6" s="1">
        <v>5850</v>
      </c>
      <c r="Y6" s="1">
        <v>4820</v>
      </c>
      <c r="Z6" s="1">
        <v>5260</v>
      </c>
      <c r="AA6" s="1">
        <v>5090</v>
      </c>
      <c r="AB6" s="3">
        <f t="shared" si="0"/>
        <v>5312.083333333333</v>
      </c>
      <c r="AC6" s="1">
        <f t="shared" si="1"/>
        <v>1924.1779253504076</v>
      </c>
      <c r="AD6" s="1">
        <f t="shared" ref="AD6:BA6" si="10">(D6-$AB6)/$AC6</f>
        <v>-1.092457878057471</v>
      </c>
      <c r="AE6" s="1">
        <f t="shared" si="10"/>
        <v>-0.76504532867731312</v>
      </c>
      <c r="AF6" s="1">
        <f t="shared" si="10"/>
        <v>-0.74425723030396973</v>
      </c>
      <c r="AG6" s="1">
        <f t="shared" si="10"/>
        <v>-0.3596774103971177</v>
      </c>
      <c r="AH6" s="1">
        <f t="shared" si="10"/>
        <v>-0.56236136953721538</v>
      </c>
      <c r="AI6" s="1">
        <f t="shared" si="10"/>
        <v>-0.73386318111729809</v>
      </c>
      <c r="AJ6" s="1">
        <f t="shared" si="10"/>
        <v>-0.45842087767049861</v>
      </c>
      <c r="AK6" s="1">
        <f t="shared" si="10"/>
        <v>-0.45322385307716279</v>
      </c>
      <c r="AL6" s="1">
        <f t="shared" si="10"/>
        <v>-0.80662152542399979</v>
      </c>
      <c r="AM6" s="1">
        <f t="shared" si="10"/>
        <v>-0.12061427910366911</v>
      </c>
      <c r="AN6" s="1">
        <f t="shared" si="10"/>
        <v>-0.16219047585035581</v>
      </c>
      <c r="AO6" s="1">
        <f t="shared" si="10"/>
        <v>-0.3232982382437668</v>
      </c>
      <c r="AP6" s="1">
        <f t="shared" si="10"/>
        <v>-0.72346913193062645</v>
      </c>
      <c r="AQ6" s="1">
        <f t="shared" si="10"/>
        <v>-0.36487443499045352</v>
      </c>
      <c r="AR6" s="1">
        <f t="shared" si="10"/>
        <v>-0.31290418905709516</v>
      </c>
      <c r="AS6" s="1">
        <f t="shared" si="10"/>
        <v>2.8053105669444083</v>
      </c>
      <c r="AT6" s="1">
        <f t="shared" si="10"/>
        <v>2.649399829144333</v>
      </c>
      <c r="AU6" s="1">
        <f t="shared" si="10"/>
        <v>1.2565972381303281</v>
      </c>
      <c r="AV6" s="1">
        <f t="shared" si="10"/>
        <v>0.94477576253017781</v>
      </c>
      <c r="AW6" s="1">
        <f t="shared" si="10"/>
        <v>0.44586140156993731</v>
      </c>
      <c r="AX6" s="1">
        <f t="shared" si="10"/>
        <v>0.27955661458319048</v>
      </c>
      <c r="AY6" s="1">
        <f t="shared" si="10"/>
        <v>-0.25573691853040093</v>
      </c>
      <c r="AZ6" s="1">
        <f t="shared" si="10"/>
        <v>-2.7067836423624002E-2</v>
      </c>
      <c r="BA6" s="1">
        <f t="shared" si="10"/>
        <v>-0.11541725451033326</v>
      </c>
      <c r="BB6" s="1">
        <f t="shared" ref="BB6:BY6" si="11">IF(AD6&gt;=1,1,0)</f>
        <v>0</v>
      </c>
      <c r="BC6" s="1">
        <f t="shared" si="11"/>
        <v>0</v>
      </c>
      <c r="BD6" s="1">
        <f t="shared" si="11"/>
        <v>0</v>
      </c>
      <c r="BE6" s="1">
        <f t="shared" si="11"/>
        <v>0</v>
      </c>
      <c r="BF6" s="1">
        <f t="shared" si="11"/>
        <v>0</v>
      </c>
      <c r="BG6" s="1">
        <f t="shared" si="11"/>
        <v>0</v>
      </c>
      <c r="BH6" s="1">
        <f t="shared" si="11"/>
        <v>0</v>
      </c>
      <c r="BI6" s="1">
        <f t="shared" si="11"/>
        <v>0</v>
      </c>
      <c r="BJ6" s="1">
        <f t="shared" si="11"/>
        <v>0</v>
      </c>
      <c r="BK6" s="1">
        <f t="shared" si="11"/>
        <v>0</v>
      </c>
      <c r="BL6" s="1">
        <f t="shared" si="11"/>
        <v>0</v>
      </c>
      <c r="BM6" s="1">
        <f t="shared" si="11"/>
        <v>0</v>
      </c>
      <c r="BN6" s="1">
        <f t="shared" si="11"/>
        <v>0</v>
      </c>
      <c r="BO6" s="1">
        <f t="shared" si="11"/>
        <v>0</v>
      </c>
      <c r="BP6" s="1">
        <f t="shared" si="11"/>
        <v>0</v>
      </c>
      <c r="BQ6" s="1">
        <f t="shared" si="11"/>
        <v>1</v>
      </c>
      <c r="BR6" s="1">
        <f t="shared" si="11"/>
        <v>1</v>
      </c>
      <c r="BS6" s="1">
        <f t="shared" si="11"/>
        <v>1</v>
      </c>
      <c r="BT6" s="1">
        <f t="shared" si="11"/>
        <v>0</v>
      </c>
      <c r="BU6" s="1">
        <f t="shared" si="11"/>
        <v>0</v>
      </c>
      <c r="BV6" s="1">
        <f t="shared" si="11"/>
        <v>0</v>
      </c>
      <c r="BW6" s="1">
        <f t="shared" si="11"/>
        <v>0</v>
      </c>
      <c r="BX6" s="1">
        <f t="shared" si="11"/>
        <v>0</v>
      </c>
      <c r="BY6" s="1">
        <f t="shared" si="11"/>
        <v>0</v>
      </c>
    </row>
    <row r="7" spans="1:90" x14ac:dyDescent="0.25">
      <c r="A7" s="1" t="s">
        <v>62</v>
      </c>
      <c r="B7" s="1" t="s">
        <v>63</v>
      </c>
      <c r="C7" s="1" t="s">
        <v>64</v>
      </c>
      <c r="D7" s="1">
        <v>1301090</v>
      </c>
      <c r="E7" s="1">
        <v>1965090</v>
      </c>
      <c r="F7" s="1">
        <v>1191390</v>
      </c>
      <c r="G7" s="1">
        <v>1697380</v>
      </c>
      <c r="H7" s="1">
        <v>2487710</v>
      </c>
      <c r="I7" s="1">
        <v>3304490</v>
      </c>
      <c r="J7" s="1">
        <v>3936040</v>
      </c>
      <c r="K7" s="1">
        <v>4759010</v>
      </c>
      <c r="L7" s="1">
        <v>3236140</v>
      </c>
      <c r="M7" s="1">
        <v>1925190</v>
      </c>
      <c r="N7" s="1">
        <v>1591030</v>
      </c>
      <c r="O7" s="1">
        <v>2439410</v>
      </c>
      <c r="P7" s="1">
        <v>3138070</v>
      </c>
      <c r="Q7" s="1">
        <v>3038600</v>
      </c>
      <c r="R7" s="1">
        <v>2256310</v>
      </c>
      <c r="S7" s="1">
        <v>2338590</v>
      </c>
      <c r="T7" s="1">
        <v>2301820</v>
      </c>
      <c r="U7" s="1">
        <v>3522860</v>
      </c>
      <c r="V7" s="1">
        <v>3045490</v>
      </c>
      <c r="W7" s="1">
        <v>3006930</v>
      </c>
      <c r="X7" s="1">
        <v>2427780</v>
      </c>
      <c r="Y7" s="1">
        <v>1597120</v>
      </c>
      <c r="Z7" s="1">
        <v>1577040</v>
      </c>
      <c r="AA7" s="1">
        <v>2392850</v>
      </c>
      <c r="AB7" s="3">
        <f t="shared" si="0"/>
        <v>2519892.9166666665</v>
      </c>
      <c r="AC7" s="1">
        <f t="shared" si="1"/>
        <v>877051.25478839956</v>
      </c>
      <c r="AD7" s="1">
        <f t="shared" ref="AD7:BA7" si="12">(D7-$AB7)/$AC7</f>
        <v>-1.3896598517046979</v>
      </c>
      <c r="AE7" s="1">
        <f t="shared" si="12"/>
        <v>-0.6325775302613531</v>
      </c>
      <c r="AF7" s="1">
        <f t="shared" si="12"/>
        <v>-1.5147380605335155</v>
      </c>
      <c r="AG7" s="1">
        <f t="shared" si="12"/>
        <v>-0.9378162475408679</v>
      </c>
      <c r="AH7" s="1">
        <f t="shared" si="12"/>
        <v>-3.6694453706050595E-2</v>
      </c>
      <c r="AI7" s="1">
        <f t="shared" si="12"/>
        <v>0.89458521272240599</v>
      </c>
      <c r="AJ7" s="1">
        <f t="shared" si="12"/>
        <v>1.6146685562578644</v>
      </c>
      <c r="AK7" s="1">
        <f t="shared" si="12"/>
        <v>2.5530059630021857</v>
      </c>
      <c r="AL7" s="1">
        <f t="shared" si="12"/>
        <v>0.81665362135094122</v>
      </c>
      <c r="AM7" s="1">
        <f t="shared" si="12"/>
        <v>-0.67807088060109622</v>
      </c>
      <c r="AN7" s="1">
        <f t="shared" si="12"/>
        <v>-1.0590748392358975</v>
      </c>
      <c r="AO7" s="1">
        <f t="shared" si="12"/>
        <v>-9.176535148573968E-2</v>
      </c>
      <c r="AP7" s="1">
        <f t="shared" si="12"/>
        <v>0.70483575498957252</v>
      </c>
      <c r="AQ7" s="1">
        <f t="shared" si="12"/>
        <v>0.59142163072154608</v>
      </c>
      <c r="AR7" s="1">
        <f t="shared" si="12"/>
        <v>-0.3005330819921801</v>
      </c>
      <c r="AS7" s="1">
        <f t="shared" si="12"/>
        <v>-0.20671872444947165</v>
      </c>
      <c r="AT7" s="1">
        <f t="shared" si="12"/>
        <v>-0.24864329818361589</v>
      </c>
      <c r="AU7" s="1">
        <f t="shared" si="12"/>
        <v>1.1435672406344288</v>
      </c>
      <c r="AV7" s="1">
        <f t="shared" si="12"/>
        <v>0.59927749999073987</v>
      </c>
      <c r="AW7" s="1">
        <f t="shared" si="12"/>
        <v>0.55531199650451191</v>
      </c>
      <c r="AX7" s="1">
        <f t="shared" si="12"/>
        <v>-0.10502569395318863</v>
      </c>
      <c r="AY7" s="1">
        <f t="shared" si="12"/>
        <v>-1.0521311173419368</v>
      </c>
      <c r="AZ7" s="1">
        <f t="shared" si="12"/>
        <v>-1.0750260164602836</v>
      </c>
      <c r="BA7" s="1">
        <f t="shared" si="12"/>
        <v>-0.1448523287242971</v>
      </c>
      <c r="BB7" s="1">
        <f t="shared" ref="BB7:BY7" si="13">IF(AD7&gt;=1,1,0)</f>
        <v>0</v>
      </c>
      <c r="BC7" s="1">
        <f t="shared" si="13"/>
        <v>0</v>
      </c>
      <c r="BD7" s="1">
        <f t="shared" si="13"/>
        <v>0</v>
      </c>
      <c r="BE7" s="1">
        <f t="shared" si="13"/>
        <v>0</v>
      </c>
      <c r="BF7" s="1">
        <f t="shared" si="13"/>
        <v>0</v>
      </c>
      <c r="BG7" s="1">
        <f t="shared" si="13"/>
        <v>0</v>
      </c>
      <c r="BH7" s="1">
        <f t="shared" si="13"/>
        <v>1</v>
      </c>
      <c r="BI7" s="1">
        <f t="shared" si="13"/>
        <v>1</v>
      </c>
      <c r="BJ7" s="1">
        <f t="shared" si="13"/>
        <v>0</v>
      </c>
      <c r="BK7" s="1">
        <f t="shared" si="13"/>
        <v>0</v>
      </c>
      <c r="BL7" s="1">
        <f t="shared" si="13"/>
        <v>0</v>
      </c>
      <c r="BM7" s="1">
        <f t="shared" si="13"/>
        <v>0</v>
      </c>
      <c r="BN7" s="1">
        <f t="shared" si="13"/>
        <v>0</v>
      </c>
      <c r="BO7" s="1">
        <f t="shared" si="13"/>
        <v>0</v>
      </c>
      <c r="BP7" s="1">
        <f t="shared" si="13"/>
        <v>0</v>
      </c>
      <c r="BQ7" s="1">
        <f t="shared" si="13"/>
        <v>0</v>
      </c>
      <c r="BR7" s="1">
        <f t="shared" si="13"/>
        <v>0</v>
      </c>
      <c r="BS7" s="1">
        <f t="shared" si="13"/>
        <v>1</v>
      </c>
      <c r="BT7" s="1">
        <f t="shared" si="13"/>
        <v>0</v>
      </c>
      <c r="BU7" s="1">
        <f t="shared" si="13"/>
        <v>0</v>
      </c>
      <c r="BV7" s="1">
        <f t="shared" si="13"/>
        <v>0</v>
      </c>
      <c r="BW7" s="1">
        <f t="shared" si="13"/>
        <v>0</v>
      </c>
      <c r="BX7" s="1">
        <f t="shared" si="13"/>
        <v>0</v>
      </c>
      <c r="BY7" s="1">
        <f t="shared" si="13"/>
        <v>0</v>
      </c>
    </row>
    <row r="8" spans="1:90" x14ac:dyDescent="0.25">
      <c r="A8" s="1" t="s">
        <v>65</v>
      </c>
      <c r="B8" s="1" t="s">
        <v>59</v>
      </c>
      <c r="C8" s="1" t="s">
        <v>66</v>
      </c>
      <c r="D8" s="1">
        <v>22255750</v>
      </c>
      <c r="E8" s="1">
        <v>15325720</v>
      </c>
      <c r="F8" s="1">
        <v>15110000</v>
      </c>
      <c r="G8" s="1">
        <v>15418630</v>
      </c>
      <c r="H8" s="1">
        <v>15087290</v>
      </c>
      <c r="I8" s="1">
        <v>17870520</v>
      </c>
      <c r="J8" s="1">
        <v>15480670</v>
      </c>
      <c r="K8" s="1">
        <v>18474620</v>
      </c>
      <c r="L8" s="1">
        <v>18428700</v>
      </c>
      <c r="M8" s="1">
        <v>15440100</v>
      </c>
      <c r="N8" s="1">
        <v>18519450</v>
      </c>
      <c r="O8" s="1">
        <v>22856480</v>
      </c>
      <c r="P8" s="1">
        <v>22623130</v>
      </c>
      <c r="Q8" s="1">
        <v>15628420</v>
      </c>
      <c r="R8" s="1">
        <v>14877660</v>
      </c>
      <c r="S8" s="1">
        <v>18239980</v>
      </c>
      <c r="T8" s="1">
        <v>15262010</v>
      </c>
      <c r="U8" s="1">
        <v>17963270</v>
      </c>
      <c r="V8" s="1">
        <v>15073350</v>
      </c>
      <c r="W8" s="1">
        <v>25361900</v>
      </c>
      <c r="X8" s="1">
        <v>31509680</v>
      </c>
      <c r="Y8" s="1">
        <v>19028110</v>
      </c>
      <c r="Z8" s="1">
        <v>18525780</v>
      </c>
      <c r="AA8" s="1">
        <v>26973440</v>
      </c>
      <c r="AB8" s="3">
        <f t="shared" si="0"/>
        <v>18805610.833333332</v>
      </c>
      <c r="AC8" s="1">
        <f t="shared" si="1"/>
        <v>4382773.668902535</v>
      </c>
      <c r="AD8" s="1">
        <f t="shared" ref="AD8:BA8" si="14">(D8-$AB8)/$AC8</f>
        <v>0.78720450274371512</v>
      </c>
      <c r="AE8" s="1">
        <f t="shared" si="14"/>
        <v>-0.79399282194846066</v>
      </c>
      <c r="AF8" s="1">
        <f t="shared" si="14"/>
        <v>-0.84321279457233045</v>
      </c>
      <c r="AG8" s="1">
        <f t="shared" si="14"/>
        <v>-0.77279391755163263</v>
      </c>
      <c r="AH8" s="1">
        <f t="shared" si="14"/>
        <v>-0.84839444475909143</v>
      </c>
      <c r="AI8" s="1">
        <f t="shared" si="14"/>
        <v>-0.21335594853281181</v>
      </c>
      <c r="AJ8" s="1">
        <f t="shared" si="14"/>
        <v>-0.75863849801897509</v>
      </c>
      <c r="AK8" s="1">
        <f t="shared" si="14"/>
        <v>-7.552085924076786E-2</v>
      </c>
      <c r="AL8" s="1">
        <f t="shared" si="14"/>
        <v>-8.5998242621484075E-2</v>
      </c>
      <c r="AM8" s="1">
        <f t="shared" si="14"/>
        <v>-0.76789519322271327</v>
      </c>
      <c r="AN8" s="1">
        <f t="shared" si="14"/>
        <v>-6.5292176815735042E-2</v>
      </c>
      <c r="AO8" s="1">
        <f t="shared" si="14"/>
        <v>0.92427067256727014</v>
      </c>
      <c r="AP8" s="1">
        <f t="shared" si="14"/>
        <v>0.87102813310973248</v>
      </c>
      <c r="AQ8" s="1">
        <f t="shared" si="14"/>
        <v>-0.72492696939308621</v>
      </c>
      <c r="AR8" s="1">
        <f t="shared" si="14"/>
        <v>-0.8962248863553357</v>
      </c>
      <c r="AS8" s="1">
        <f t="shared" si="14"/>
        <v>-0.1290577328568665</v>
      </c>
      <c r="AT8" s="1">
        <f t="shared" si="14"/>
        <v>-0.80852927872514679</v>
      </c>
      <c r="AU8" s="1">
        <f t="shared" si="14"/>
        <v>-0.19219355069828595</v>
      </c>
      <c r="AV8" s="1">
        <f t="shared" si="14"/>
        <v>-0.851575078999666</v>
      </c>
      <c r="AW8" s="1">
        <f t="shared" si="14"/>
        <v>1.495922368336303</v>
      </c>
      <c r="AX8" s="1">
        <f t="shared" si="14"/>
        <v>2.8986368282731378</v>
      </c>
      <c r="AY8" s="1">
        <f t="shared" si="14"/>
        <v>5.0766748063078203E-2</v>
      </c>
      <c r="AZ8" s="1">
        <f t="shared" si="14"/>
        <v>-6.3847885944656346E-2</v>
      </c>
      <c r="BA8" s="1">
        <f t="shared" si="14"/>
        <v>1.8636210271638158</v>
      </c>
      <c r="BB8" s="1">
        <f t="shared" ref="BB8:BY8" si="15">IF(AD8&gt;=1,1,0)</f>
        <v>0</v>
      </c>
      <c r="BC8" s="1">
        <f t="shared" si="15"/>
        <v>0</v>
      </c>
      <c r="BD8" s="1">
        <f t="shared" si="15"/>
        <v>0</v>
      </c>
      <c r="BE8" s="1">
        <f t="shared" si="15"/>
        <v>0</v>
      </c>
      <c r="BF8" s="1">
        <f t="shared" si="15"/>
        <v>0</v>
      </c>
      <c r="BG8" s="1">
        <f t="shared" si="15"/>
        <v>0</v>
      </c>
      <c r="BH8" s="1">
        <f t="shared" si="15"/>
        <v>0</v>
      </c>
      <c r="BI8" s="1">
        <f t="shared" si="15"/>
        <v>0</v>
      </c>
      <c r="BJ8" s="1">
        <f t="shared" si="15"/>
        <v>0</v>
      </c>
      <c r="BK8" s="1">
        <f t="shared" si="15"/>
        <v>0</v>
      </c>
      <c r="BL8" s="1">
        <f t="shared" si="15"/>
        <v>0</v>
      </c>
      <c r="BM8" s="1">
        <f t="shared" si="15"/>
        <v>0</v>
      </c>
      <c r="BN8" s="1">
        <f t="shared" si="15"/>
        <v>0</v>
      </c>
      <c r="BO8" s="1">
        <f t="shared" si="15"/>
        <v>0</v>
      </c>
      <c r="BP8" s="1">
        <f t="shared" si="15"/>
        <v>0</v>
      </c>
      <c r="BQ8" s="1">
        <f t="shared" si="15"/>
        <v>0</v>
      </c>
      <c r="BR8" s="1">
        <f t="shared" si="15"/>
        <v>0</v>
      </c>
      <c r="BS8" s="1">
        <f t="shared" si="15"/>
        <v>0</v>
      </c>
      <c r="BT8" s="1">
        <f t="shared" si="15"/>
        <v>0</v>
      </c>
      <c r="BU8" s="1">
        <f t="shared" si="15"/>
        <v>1</v>
      </c>
      <c r="BV8" s="1">
        <f t="shared" si="15"/>
        <v>1</v>
      </c>
      <c r="BW8" s="1">
        <f t="shared" si="15"/>
        <v>0</v>
      </c>
      <c r="BX8" s="1">
        <f t="shared" si="15"/>
        <v>0</v>
      </c>
      <c r="BY8" s="1">
        <f t="shared" si="15"/>
        <v>1</v>
      </c>
    </row>
    <row r="9" spans="1:90" x14ac:dyDescent="0.25">
      <c r="A9" s="1" t="s">
        <v>67</v>
      </c>
      <c r="B9" s="1" t="s">
        <v>59</v>
      </c>
      <c r="C9" s="1" t="s">
        <v>66</v>
      </c>
      <c r="D9" s="1">
        <v>13612830</v>
      </c>
      <c r="E9" s="1">
        <v>11716130</v>
      </c>
      <c r="F9" s="1">
        <v>10586230</v>
      </c>
      <c r="G9" s="1">
        <v>11795890</v>
      </c>
      <c r="H9" s="1">
        <v>10663240</v>
      </c>
      <c r="I9" s="1">
        <v>11156890</v>
      </c>
      <c r="J9" s="1">
        <v>10685270</v>
      </c>
      <c r="K9" s="1">
        <v>10956140</v>
      </c>
      <c r="L9" s="1">
        <v>11041180</v>
      </c>
      <c r="M9" s="1">
        <v>11753680</v>
      </c>
      <c r="N9" s="1">
        <v>13822170</v>
      </c>
      <c r="O9" s="1">
        <v>16129880</v>
      </c>
      <c r="P9" s="1">
        <v>16398180</v>
      </c>
      <c r="Q9" s="1">
        <v>12177800</v>
      </c>
      <c r="R9" s="1">
        <v>10262580</v>
      </c>
      <c r="S9" s="1">
        <v>13003880</v>
      </c>
      <c r="T9" s="1">
        <v>12327760</v>
      </c>
      <c r="U9" s="1">
        <v>12966680</v>
      </c>
      <c r="V9" s="1">
        <v>11311660</v>
      </c>
      <c r="W9" s="1">
        <v>12664280</v>
      </c>
      <c r="X9" s="1">
        <v>16569030</v>
      </c>
      <c r="Y9" s="1">
        <v>16512410</v>
      </c>
      <c r="Z9" s="1">
        <v>16617080</v>
      </c>
      <c r="AA9" s="1">
        <v>20436330</v>
      </c>
      <c r="AB9" s="3">
        <f t="shared" si="0"/>
        <v>13131966.666666666</v>
      </c>
      <c r="AC9" s="1">
        <f t="shared" si="1"/>
        <v>2635278.5306625599</v>
      </c>
      <c r="AD9" s="1">
        <f t="shared" ref="AD9:BA9" si="16">(D9-$AB9)/$AC9</f>
        <v>0.18247154057466389</v>
      </c>
      <c r="AE9" s="1">
        <f t="shared" si="16"/>
        <v>-0.53726262715413897</v>
      </c>
      <c r="AF9" s="1">
        <f t="shared" si="16"/>
        <v>-0.96602185956663134</v>
      </c>
      <c r="AG9" s="1">
        <f t="shared" si="16"/>
        <v>-0.5069963767096568</v>
      </c>
      <c r="AH9" s="1">
        <f t="shared" si="16"/>
        <v>-0.93679914208005199</v>
      </c>
      <c r="AI9" s="1">
        <f t="shared" si="16"/>
        <v>-0.74947548947324882</v>
      </c>
      <c r="AJ9" s="1">
        <f t="shared" si="16"/>
        <v>-0.92843949442092533</v>
      </c>
      <c r="AK9" s="1">
        <f t="shared" si="16"/>
        <v>-0.82565339540015192</v>
      </c>
      <c r="AL9" s="1">
        <f t="shared" si="16"/>
        <v>-0.79338356167649648</v>
      </c>
      <c r="AM9" s="1">
        <f t="shared" si="16"/>
        <v>-0.52301365894713914</v>
      </c>
      <c r="AN9" s="1">
        <f t="shared" si="16"/>
        <v>0.26190906399552516</v>
      </c>
      <c r="AO9" s="1">
        <f t="shared" si="16"/>
        <v>1.1376077702798273</v>
      </c>
      <c r="AP9" s="1">
        <f t="shared" si="16"/>
        <v>1.2394186403181242</v>
      </c>
      <c r="AQ9" s="1">
        <f t="shared" si="16"/>
        <v>-0.36207431418141978</v>
      </c>
      <c r="AR9" s="1">
        <f t="shared" si="16"/>
        <v>-1.0888362020485352</v>
      </c>
      <c r="AS9" s="1">
        <f t="shared" si="16"/>
        <v>-4.8604602958026828E-2</v>
      </c>
      <c r="AT9" s="1">
        <f t="shared" si="16"/>
        <v>-0.30516951332065567</v>
      </c>
      <c r="AU9" s="1">
        <f t="shared" si="16"/>
        <v>-6.272075787947537E-2</v>
      </c>
      <c r="AV9" s="1">
        <f t="shared" si="16"/>
        <v>-0.69074545460248027</v>
      </c>
      <c r="AW9" s="1">
        <f t="shared" si="16"/>
        <v>-0.17747143659576681</v>
      </c>
      <c r="AX9" s="1">
        <f t="shared" si="16"/>
        <v>1.3042504969936479</v>
      </c>
      <c r="AY9" s="1">
        <f t="shared" si="16"/>
        <v>1.282765102056755</v>
      </c>
      <c r="AZ9" s="1">
        <f t="shared" si="16"/>
        <v>1.3224838637671856</v>
      </c>
      <c r="BA9" s="1">
        <f t="shared" si="16"/>
        <v>2.7717614090290774</v>
      </c>
      <c r="BB9" s="1">
        <f t="shared" ref="BB9:BY9" si="17">IF(AD9&gt;=1,1,0)</f>
        <v>0</v>
      </c>
      <c r="BC9" s="1">
        <f t="shared" si="17"/>
        <v>0</v>
      </c>
      <c r="BD9" s="1">
        <f t="shared" si="17"/>
        <v>0</v>
      </c>
      <c r="BE9" s="1">
        <f t="shared" si="17"/>
        <v>0</v>
      </c>
      <c r="BF9" s="1">
        <f t="shared" si="17"/>
        <v>0</v>
      </c>
      <c r="BG9" s="1">
        <f t="shared" si="17"/>
        <v>0</v>
      </c>
      <c r="BH9" s="1">
        <f t="shared" si="17"/>
        <v>0</v>
      </c>
      <c r="BI9" s="1">
        <f t="shared" si="17"/>
        <v>0</v>
      </c>
      <c r="BJ9" s="1">
        <f t="shared" si="17"/>
        <v>0</v>
      </c>
      <c r="BK9" s="1">
        <f t="shared" si="17"/>
        <v>0</v>
      </c>
      <c r="BL9" s="1">
        <f t="shared" si="17"/>
        <v>0</v>
      </c>
      <c r="BM9" s="1">
        <f t="shared" si="17"/>
        <v>1</v>
      </c>
      <c r="BN9" s="1">
        <f t="shared" si="17"/>
        <v>1</v>
      </c>
      <c r="BO9" s="1">
        <f t="shared" si="17"/>
        <v>0</v>
      </c>
      <c r="BP9" s="1">
        <f t="shared" si="17"/>
        <v>0</v>
      </c>
      <c r="BQ9" s="1">
        <f t="shared" si="17"/>
        <v>0</v>
      </c>
      <c r="BR9" s="1">
        <f t="shared" si="17"/>
        <v>0</v>
      </c>
      <c r="BS9" s="1">
        <f t="shared" si="17"/>
        <v>0</v>
      </c>
      <c r="BT9" s="1">
        <f t="shared" si="17"/>
        <v>0</v>
      </c>
      <c r="BU9" s="1">
        <f t="shared" si="17"/>
        <v>0</v>
      </c>
      <c r="BV9" s="1">
        <f t="shared" si="17"/>
        <v>1</v>
      </c>
      <c r="BW9" s="1">
        <f t="shared" si="17"/>
        <v>1</v>
      </c>
      <c r="BX9" s="1">
        <f t="shared" si="17"/>
        <v>1</v>
      </c>
      <c r="BY9" s="1">
        <f t="shared" si="17"/>
        <v>1</v>
      </c>
    </row>
    <row r="10" spans="1:90" x14ac:dyDescent="0.25">
      <c r="A10" s="1" t="s">
        <v>68</v>
      </c>
      <c r="B10" s="1" t="s">
        <v>69</v>
      </c>
      <c r="C10" s="1" t="s">
        <v>70</v>
      </c>
      <c r="D10" s="1">
        <v>2629200</v>
      </c>
      <c r="E10" s="1">
        <v>6259080</v>
      </c>
      <c r="F10" s="1">
        <v>4438470</v>
      </c>
      <c r="G10" s="1">
        <v>4740050</v>
      </c>
      <c r="H10" s="1">
        <v>5263180</v>
      </c>
      <c r="I10" s="1">
        <v>5490470</v>
      </c>
      <c r="J10" s="1">
        <v>5609120</v>
      </c>
      <c r="K10" s="1">
        <v>5717350</v>
      </c>
      <c r="L10" s="1">
        <v>5671990</v>
      </c>
      <c r="M10" s="1">
        <v>4756320</v>
      </c>
      <c r="N10" s="1">
        <v>4031640</v>
      </c>
      <c r="O10" s="1">
        <v>2604930</v>
      </c>
      <c r="P10" s="1">
        <v>2726630</v>
      </c>
      <c r="Q10" s="1">
        <v>5446640</v>
      </c>
      <c r="R10" s="1">
        <v>3897850</v>
      </c>
      <c r="S10" s="1">
        <v>4259570</v>
      </c>
      <c r="T10" s="1">
        <v>4216700</v>
      </c>
      <c r="U10" s="1">
        <v>5132760</v>
      </c>
      <c r="V10" s="1">
        <v>5650380</v>
      </c>
      <c r="W10" s="1">
        <v>10762190</v>
      </c>
      <c r="X10" s="1">
        <v>11017600</v>
      </c>
      <c r="Y10" s="1">
        <v>8405860</v>
      </c>
      <c r="Z10" s="1">
        <v>6010940</v>
      </c>
      <c r="AA10" s="1">
        <v>4326630</v>
      </c>
      <c r="AB10" s="3">
        <f t="shared" si="0"/>
        <v>5377731.25</v>
      </c>
      <c r="AC10" s="1">
        <f t="shared" si="1"/>
        <v>2118443.8358057989</v>
      </c>
      <c r="AD10" s="1">
        <f t="shared" ref="AD10:BA10" si="18">(D10-$AB10)/$AC10</f>
        <v>-1.2974293694005501</v>
      </c>
      <c r="AE10" s="1">
        <f t="shared" si="18"/>
        <v>0.41603592934752442</v>
      </c>
      <c r="AF10" s="1">
        <f t="shared" si="18"/>
        <v>-0.44337321298052274</v>
      </c>
      <c r="AG10" s="1">
        <f t="shared" si="18"/>
        <v>-0.30101399868240702</v>
      </c>
      <c r="AH10" s="1">
        <f t="shared" si="18"/>
        <v>-5.4073300440569759E-2</v>
      </c>
      <c r="AI10" s="1">
        <f t="shared" si="18"/>
        <v>5.3217719580050712E-2</v>
      </c>
      <c r="AJ10" s="1">
        <f t="shared" si="18"/>
        <v>0.10922581287692527</v>
      </c>
      <c r="AK10" s="1">
        <f t="shared" si="18"/>
        <v>0.16031520130946411</v>
      </c>
      <c r="AL10" s="1">
        <f t="shared" si="18"/>
        <v>0.13890325767738465</v>
      </c>
      <c r="AM10" s="1">
        <f t="shared" si="18"/>
        <v>-0.29333383283377534</v>
      </c>
      <c r="AN10" s="1">
        <f t="shared" si="18"/>
        <v>-0.63541512276533085</v>
      </c>
      <c r="AO10" s="1">
        <f t="shared" si="18"/>
        <v>-1.3088858921507831</v>
      </c>
      <c r="AP10" s="1">
        <f t="shared" si="18"/>
        <v>-1.2514380627851729</v>
      </c>
      <c r="AQ10" s="1">
        <f t="shared" si="18"/>
        <v>3.2528004205402486E-2</v>
      </c>
      <c r="AR10" s="1">
        <f t="shared" si="18"/>
        <v>-0.69856997149848588</v>
      </c>
      <c r="AS10" s="1">
        <f t="shared" si="18"/>
        <v>-0.52782199419258224</v>
      </c>
      <c r="AT10" s="1">
        <f t="shared" si="18"/>
        <v>-0.54805854673903831</v>
      </c>
      <c r="AU10" s="1">
        <f t="shared" si="18"/>
        <v>-0.11563735882892526</v>
      </c>
      <c r="AV10" s="1">
        <f t="shared" si="18"/>
        <v>0.12870237359693407</v>
      </c>
      <c r="AW10" s="1">
        <f t="shared" si="18"/>
        <v>2.5417047452437638</v>
      </c>
      <c r="AX10" s="1">
        <f t="shared" si="18"/>
        <v>2.6622696597735129</v>
      </c>
      <c r="AY10" s="1">
        <f t="shared" si="18"/>
        <v>1.4294118629999844</v>
      </c>
      <c r="AZ10" s="1">
        <f t="shared" si="18"/>
        <v>0.2989027791521055</v>
      </c>
      <c r="BA10" s="1">
        <f t="shared" si="18"/>
        <v>-0.49616668246490919</v>
      </c>
      <c r="BB10" s="1">
        <f t="shared" ref="BB10:BY10" si="19">IF(AD10&gt;=1,1,0)</f>
        <v>0</v>
      </c>
      <c r="BC10" s="1">
        <f t="shared" si="19"/>
        <v>0</v>
      </c>
      <c r="BD10" s="1">
        <f t="shared" si="19"/>
        <v>0</v>
      </c>
      <c r="BE10" s="1">
        <f t="shared" si="19"/>
        <v>0</v>
      </c>
      <c r="BF10" s="1">
        <f t="shared" si="19"/>
        <v>0</v>
      </c>
      <c r="BG10" s="1">
        <f t="shared" si="19"/>
        <v>0</v>
      </c>
      <c r="BH10" s="1">
        <f t="shared" si="19"/>
        <v>0</v>
      </c>
      <c r="BI10" s="1">
        <f t="shared" si="19"/>
        <v>0</v>
      </c>
      <c r="BJ10" s="1">
        <f t="shared" si="19"/>
        <v>0</v>
      </c>
      <c r="BK10" s="1">
        <f t="shared" si="19"/>
        <v>0</v>
      </c>
      <c r="BL10" s="1">
        <f t="shared" si="19"/>
        <v>0</v>
      </c>
      <c r="BM10" s="1">
        <f t="shared" si="19"/>
        <v>0</v>
      </c>
      <c r="BN10" s="1">
        <f t="shared" si="19"/>
        <v>0</v>
      </c>
      <c r="BO10" s="1">
        <f t="shared" si="19"/>
        <v>0</v>
      </c>
      <c r="BP10" s="1">
        <f t="shared" si="19"/>
        <v>0</v>
      </c>
      <c r="BQ10" s="1">
        <f t="shared" si="19"/>
        <v>0</v>
      </c>
      <c r="BR10" s="1">
        <f t="shared" si="19"/>
        <v>0</v>
      </c>
      <c r="BS10" s="1">
        <f t="shared" si="19"/>
        <v>0</v>
      </c>
      <c r="BT10" s="1">
        <f t="shared" si="19"/>
        <v>0</v>
      </c>
      <c r="BU10" s="1">
        <f t="shared" si="19"/>
        <v>1</v>
      </c>
      <c r="BV10" s="1">
        <f t="shared" si="19"/>
        <v>1</v>
      </c>
      <c r="BW10" s="1">
        <f t="shared" si="19"/>
        <v>1</v>
      </c>
      <c r="BX10" s="1">
        <f t="shared" si="19"/>
        <v>0</v>
      </c>
      <c r="BY10" s="1">
        <f t="shared" si="19"/>
        <v>0</v>
      </c>
    </row>
    <row r="11" spans="1:90" x14ac:dyDescent="0.25">
      <c r="A11" s="1" t="s">
        <v>71</v>
      </c>
      <c r="B11" s="1" t="s">
        <v>72</v>
      </c>
      <c r="C11" s="1" t="s">
        <v>73</v>
      </c>
      <c r="D11" s="1">
        <v>9885820</v>
      </c>
      <c r="E11" s="1">
        <v>11759190</v>
      </c>
      <c r="F11" s="1">
        <v>11507120</v>
      </c>
      <c r="G11" s="1">
        <v>11157550</v>
      </c>
      <c r="H11" s="1">
        <v>13015660</v>
      </c>
      <c r="I11" s="1">
        <v>11076070</v>
      </c>
      <c r="J11" s="1">
        <v>11616320</v>
      </c>
      <c r="K11" s="1">
        <v>11137400</v>
      </c>
      <c r="L11" s="1">
        <v>11309180</v>
      </c>
      <c r="M11" s="1">
        <v>11658830</v>
      </c>
      <c r="N11" s="1">
        <v>11767170</v>
      </c>
      <c r="O11" s="1">
        <v>10954080</v>
      </c>
      <c r="P11" s="1">
        <v>11880170</v>
      </c>
      <c r="Q11" s="1">
        <v>13707340</v>
      </c>
      <c r="R11" s="1">
        <v>16059970</v>
      </c>
      <c r="S11" s="1">
        <v>13569620</v>
      </c>
      <c r="T11" s="1">
        <v>13242420</v>
      </c>
      <c r="U11" s="1">
        <v>13645310</v>
      </c>
      <c r="V11" s="1">
        <v>11187660</v>
      </c>
      <c r="W11" s="1">
        <v>11219550</v>
      </c>
      <c r="X11" s="1">
        <v>11329450</v>
      </c>
      <c r="Y11" s="1">
        <v>13165730</v>
      </c>
      <c r="Z11" s="1">
        <v>13706790</v>
      </c>
      <c r="AA11" s="1">
        <v>13158490</v>
      </c>
      <c r="AB11" s="3">
        <f t="shared" si="0"/>
        <v>12196537.083333334</v>
      </c>
      <c r="AC11" s="1">
        <f t="shared" si="1"/>
        <v>1359851.6927111542</v>
      </c>
      <c r="AD11" s="1">
        <f t="shared" ref="AD11:BA11" si="20">(D11-$AB11)/$AC11</f>
        <v>-1.6992419803709822</v>
      </c>
      <c r="AE11" s="1">
        <f t="shared" si="20"/>
        <v>-0.32161380956285707</v>
      </c>
      <c r="AF11" s="1">
        <f t="shared" si="20"/>
        <v>-0.5069796118419605</v>
      </c>
      <c r="AG11" s="1">
        <f t="shared" si="20"/>
        <v>-0.76404440932958784</v>
      </c>
      <c r="AH11" s="1">
        <f t="shared" si="20"/>
        <v>0.60236194951051603</v>
      </c>
      <c r="AI11" s="1">
        <f t="shared" si="20"/>
        <v>-0.82396270809461869</v>
      </c>
      <c r="AJ11" s="1">
        <f t="shared" si="20"/>
        <v>-0.42667673720841387</v>
      </c>
      <c r="AK11" s="1">
        <f t="shared" si="20"/>
        <v>-0.77886220167268272</v>
      </c>
      <c r="AL11" s="1">
        <f t="shared" si="20"/>
        <v>-0.65253960272991129</v>
      </c>
      <c r="AM11" s="1">
        <f t="shared" si="20"/>
        <v>-0.3954159752974975</v>
      </c>
      <c r="AN11" s="1">
        <f t="shared" si="20"/>
        <v>-0.31574552257040556</v>
      </c>
      <c r="AO11" s="1">
        <f t="shared" si="20"/>
        <v>-0.91367102015090407</v>
      </c>
      <c r="AP11" s="1">
        <f t="shared" si="20"/>
        <v>-0.23264822555950107</v>
      </c>
      <c r="AQ11" s="1">
        <f t="shared" si="20"/>
        <v>1.1110056521344311</v>
      </c>
      <c r="AR11" s="1">
        <f t="shared" si="20"/>
        <v>2.8410693146721675</v>
      </c>
      <c r="AS11" s="1">
        <f t="shared" si="20"/>
        <v>1.0097299021845041</v>
      </c>
      <c r="AT11" s="1">
        <f t="shared" si="20"/>
        <v>0.76911542800779653</v>
      </c>
      <c r="AU11" s="1">
        <f t="shared" si="20"/>
        <v>1.0653903836956136</v>
      </c>
      <c r="AV11" s="1">
        <f t="shared" si="20"/>
        <v>-0.74190228886057596</v>
      </c>
      <c r="AW11" s="1">
        <f t="shared" si="20"/>
        <v>-0.71845120212006497</v>
      </c>
      <c r="AX11" s="1">
        <f t="shared" si="20"/>
        <v>-0.63763356546963668</v>
      </c>
      <c r="AY11" s="1">
        <f t="shared" si="20"/>
        <v>0.71271957218685622</v>
      </c>
      <c r="AZ11" s="1">
        <f t="shared" si="20"/>
        <v>1.1106011962640241</v>
      </c>
      <c r="BA11" s="1">
        <f t="shared" si="20"/>
        <v>0.70739546218367966</v>
      </c>
      <c r="BB11" s="1">
        <f t="shared" ref="BB11:BY11" si="21">IF(AD11&gt;=1,1,0)</f>
        <v>0</v>
      </c>
      <c r="BC11" s="1">
        <f t="shared" si="21"/>
        <v>0</v>
      </c>
      <c r="BD11" s="1">
        <f t="shared" si="21"/>
        <v>0</v>
      </c>
      <c r="BE11" s="1">
        <f t="shared" si="21"/>
        <v>0</v>
      </c>
      <c r="BF11" s="1">
        <f t="shared" si="21"/>
        <v>0</v>
      </c>
      <c r="BG11" s="1">
        <f t="shared" si="21"/>
        <v>0</v>
      </c>
      <c r="BH11" s="1">
        <f t="shared" si="21"/>
        <v>0</v>
      </c>
      <c r="BI11" s="1">
        <f t="shared" si="21"/>
        <v>0</v>
      </c>
      <c r="BJ11" s="1">
        <f t="shared" si="21"/>
        <v>0</v>
      </c>
      <c r="BK11" s="1">
        <f t="shared" si="21"/>
        <v>0</v>
      </c>
      <c r="BL11" s="1">
        <f t="shared" si="21"/>
        <v>0</v>
      </c>
      <c r="BM11" s="1">
        <f t="shared" si="21"/>
        <v>0</v>
      </c>
      <c r="BN11" s="1">
        <f t="shared" si="21"/>
        <v>0</v>
      </c>
      <c r="BO11" s="1">
        <f t="shared" si="21"/>
        <v>1</v>
      </c>
      <c r="BP11" s="1">
        <f t="shared" si="21"/>
        <v>1</v>
      </c>
      <c r="BQ11" s="1">
        <f t="shared" si="21"/>
        <v>1</v>
      </c>
      <c r="BR11" s="1">
        <f t="shared" si="21"/>
        <v>0</v>
      </c>
      <c r="BS11" s="1">
        <f t="shared" si="21"/>
        <v>1</v>
      </c>
      <c r="BT11" s="1">
        <f t="shared" si="21"/>
        <v>0</v>
      </c>
      <c r="BU11" s="1">
        <f t="shared" si="21"/>
        <v>0</v>
      </c>
      <c r="BV11" s="1">
        <f t="shared" si="21"/>
        <v>0</v>
      </c>
      <c r="BW11" s="1">
        <f t="shared" si="21"/>
        <v>0</v>
      </c>
      <c r="BX11" s="1">
        <f t="shared" si="21"/>
        <v>1</v>
      </c>
      <c r="BY11" s="1">
        <f t="shared" si="21"/>
        <v>0</v>
      </c>
    </row>
    <row r="12" spans="1:90" x14ac:dyDescent="0.25">
      <c r="A12" s="1" t="s">
        <v>74</v>
      </c>
      <c r="B12" s="1" t="s">
        <v>75</v>
      </c>
      <c r="C12" s="1" t="s">
        <v>76</v>
      </c>
      <c r="D12" s="1">
        <v>23224220</v>
      </c>
      <c r="E12" s="1">
        <v>21739900</v>
      </c>
      <c r="F12" s="1">
        <v>22558180</v>
      </c>
      <c r="G12" s="1">
        <v>23589160</v>
      </c>
      <c r="H12" s="1">
        <v>23412630</v>
      </c>
      <c r="I12" s="1">
        <v>23800430</v>
      </c>
      <c r="J12" s="1">
        <v>29481110</v>
      </c>
      <c r="K12" s="1">
        <v>29757390</v>
      </c>
      <c r="L12" s="1">
        <v>28854680</v>
      </c>
      <c r="M12" s="1">
        <v>29107900</v>
      </c>
      <c r="N12" s="1">
        <v>30734430</v>
      </c>
      <c r="O12" s="1">
        <v>27475280</v>
      </c>
      <c r="P12" s="1">
        <v>26843900</v>
      </c>
      <c r="Q12" s="1">
        <v>22495780</v>
      </c>
      <c r="R12" s="1">
        <v>23385620</v>
      </c>
      <c r="S12" s="1">
        <v>26894850</v>
      </c>
      <c r="T12" s="1">
        <v>25103120</v>
      </c>
      <c r="U12" s="1">
        <v>26784520</v>
      </c>
      <c r="V12" s="1">
        <v>27582930</v>
      </c>
      <c r="W12" s="1">
        <v>29624060</v>
      </c>
      <c r="X12" s="1">
        <v>33896390</v>
      </c>
      <c r="Y12" s="1">
        <v>32417180</v>
      </c>
      <c r="Z12" s="1">
        <v>33160160</v>
      </c>
      <c r="AA12" s="1">
        <v>34419590</v>
      </c>
      <c r="AB12" s="3">
        <f t="shared" si="0"/>
        <v>27347642.083333332</v>
      </c>
      <c r="AC12" s="1">
        <f t="shared" si="1"/>
        <v>3864385.4717057226</v>
      </c>
      <c r="AD12" s="1">
        <f t="shared" ref="AD12:BA12" si="22">(D12-$AB12)/$AC12</f>
        <v>-1.0670317734926356</v>
      </c>
      <c r="AE12" s="1">
        <f t="shared" si="22"/>
        <v>-1.4511342422727047</v>
      </c>
      <c r="AF12" s="1">
        <f t="shared" si="22"/>
        <v>-1.239385179972557</v>
      </c>
      <c r="AG12" s="1">
        <f t="shared" si="22"/>
        <v>-0.97259502470760373</v>
      </c>
      <c r="AH12" s="1">
        <f t="shared" si="22"/>
        <v>-1.0182762853614691</v>
      </c>
      <c r="AI12" s="1">
        <f t="shared" si="22"/>
        <v>-0.91792397764284328</v>
      </c>
      <c r="AJ12" s="1">
        <f t="shared" si="22"/>
        <v>0.55208465415458785</v>
      </c>
      <c r="AK12" s="1">
        <f t="shared" si="22"/>
        <v>0.62357855713680033</v>
      </c>
      <c r="AL12" s="1">
        <f t="shared" si="22"/>
        <v>0.38998126033256925</v>
      </c>
      <c r="AM12" s="1">
        <f t="shared" si="22"/>
        <v>0.45550784970985253</v>
      </c>
      <c r="AN12" s="1">
        <f t="shared" si="22"/>
        <v>0.87641047754269574</v>
      </c>
      <c r="AO12" s="1">
        <f t="shared" si="22"/>
        <v>3.3029292134857627E-2</v>
      </c>
      <c r="AP12" s="1">
        <f t="shared" si="22"/>
        <v>-0.13035502980270303</v>
      </c>
      <c r="AQ12" s="1">
        <f t="shared" si="22"/>
        <v>-1.2555326374290869</v>
      </c>
      <c r="AR12" s="1">
        <f t="shared" si="22"/>
        <v>-1.0252657537252652</v>
      </c>
      <c r="AS12" s="1">
        <f t="shared" si="22"/>
        <v>-0.11717052728010378</v>
      </c>
      <c r="AT12" s="1">
        <f t="shared" si="22"/>
        <v>-0.58082251363568294</v>
      </c>
      <c r="AU12" s="1">
        <f t="shared" si="22"/>
        <v>-0.14572099172207387</v>
      </c>
      <c r="AV12" s="1">
        <f t="shared" si="22"/>
        <v>6.0886243980938282E-2</v>
      </c>
      <c r="AW12" s="1">
        <f t="shared" si="22"/>
        <v>0.58907630549130163</v>
      </c>
      <c r="AX12" s="1">
        <f t="shared" si="22"/>
        <v>1.6946414804152754</v>
      </c>
      <c r="AY12" s="1">
        <f t="shared" si="22"/>
        <v>1.3118613434878164</v>
      </c>
      <c r="AZ12" s="1">
        <f t="shared" si="22"/>
        <v>1.5041247720303246</v>
      </c>
      <c r="BA12" s="1">
        <f t="shared" si="22"/>
        <v>1.8300317006277176</v>
      </c>
      <c r="BB12" s="1">
        <f t="shared" ref="BB12:BY12" si="23">IF(AD12&gt;=1,1,0)</f>
        <v>0</v>
      </c>
      <c r="BC12" s="1">
        <f t="shared" si="23"/>
        <v>0</v>
      </c>
      <c r="BD12" s="1">
        <f t="shared" si="23"/>
        <v>0</v>
      </c>
      <c r="BE12" s="1">
        <f t="shared" si="23"/>
        <v>0</v>
      </c>
      <c r="BF12" s="1">
        <f t="shared" si="23"/>
        <v>0</v>
      </c>
      <c r="BG12" s="1">
        <f t="shared" si="23"/>
        <v>0</v>
      </c>
      <c r="BH12" s="1">
        <f t="shared" si="23"/>
        <v>0</v>
      </c>
      <c r="BI12" s="1">
        <f t="shared" si="23"/>
        <v>0</v>
      </c>
      <c r="BJ12" s="1">
        <f t="shared" si="23"/>
        <v>0</v>
      </c>
      <c r="BK12" s="1">
        <f t="shared" si="23"/>
        <v>0</v>
      </c>
      <c r="BL12" s="1">
        <f t="shared" si="23"/>
        <v>0</v>
      </c>
      <c r="BM12" s="1">
        <f t="shared" si="23"/>
        <v>0</v>
      </c>
      <c r="BN12" s="1">
        <f t="shared" si="23"/>
        <v>0</v>
      </c>
      <c r="BO12" s="1">
        <f t="shared" si="23"/>
        <v>0</v>
      </c>
      <c r="BP12" s="1">
        <f t="shared" si="23"/>
        <v>0</v>
      </c>
      <c r="BQ12" s="1">
        <f t="shared" si="23"/>
        <v>0</v>
      </c>
      <c r="BR12" s="1">
        <f t="shared" si="23"/>
        <v>0</v>
      </c>
      <c r="BS12" s="1">
        <f t="shared" si="23"/>
        <v>0</v>
      </c>
      <c r="BT12" s="1">
        <f t="shared" si="23"/>
        <v>0</v>
      </c>
      <c r="BU12" s="1">
        <f t="shared" si="23"/>
        <v>0</v>
      </c>
      <c r="BV12" s="1">
        <f t="shared" si="23"/>
        <v>1</v>
      </c>
      <c r="BW12" s="1">
        <f t="shared" si="23"/>
        <v>1</v>
      </c>
      <c r="BX12" s="1">
        <f t="shared" si="23"/>
        <v>1</v>
      </c>
      <c r="BY12" s="1">
        <f t="shared" si="23"/>
        <v>1</v>
      </c>
    </row>
    <row r="13" spans="1:90" x14ac:dyDescent="0.25">
      <c r="A13" s="1" t="s">
        <v>77</v>
      </c>
      <c r="B13" s="1" t="s">
        <v>54</v>
      </c>
      <c r="C13" s="1" t="s">
        <v>55</v>
      </c>
      <c r="D13" s="1">
        <v>2581870</v>
      </c>
      <c r="E13" s="1">
        <v>1959690</v>
      </c>
      <c r="F13" s="1">
        <v>1531040</v>
      </c>
      <c r="G13" s="1">
        <v>1612540</v>
      </c>
      <c r="H13" s="1">
        <v>1436370</v>
      </c>
      <c r="I13" s="1">
        <v>1528880</v>
      </c>
      <c r="J13" s="1">
        <v>1479550</v>
      </c>
      <c r="K13" s="1">
        <v>1739030</v>
      </c>
      <c r="L13" s="1">
        <v>1446960</v>
      </c>
      <c r="M13" s="1">
        <v>1413510</v>
      </c>
      <c r="N13" s="1">
        <v>1470280</v>
      </c>
      <c r="O13" s="1">
        <v>1955280</v>
      </c>
      <c r="P13" s="1">
        <v>1720800</v>
      </c>
      <c r="Q13" s="1">
        <v>1564860</v>
      </c>
      <c r="R13" s="1">
        <v>1222440</v>
      </c>
      <c r="S13" s="1">
        <v>1420910</v>
      </c>
      <c r="T13" s="1">
        <v>1428500</v>
      </c>
      <c r="U13" s="1">
        <v>1870110</v>
      </c>
      <c r="V13" s="1">
        <v>1550340</v>
      </c>
      <c r="W13" s="1">
        <v>1749150</v>
      </c>
      <c r="X13" s="1">
        <v>1692120</v>
      </c>
      <c r="Y13" s="1">
        <v>1608940</v>
      </c>
      <c r="Z13" s="1">
        <v>1723300</v>
      </c>
      <c r="AA13" s="1">
        <v>1894320</v>
      </c>
      <c r="AB13" s="3">
        <f t="shared" si="0"/>
        <v>1650032.9166666667</v>
      </c>
      <c r="AC13" s="1">
        <f t="shared" si="1"/>
        <v>274505.84101616649</v>
      </c>
      <c r="AD13" s="1">
        <f t="shared" ref="AD13:BA13" si="24">(D13-$AB13)/$AC13</f>
        <v>3.3945983804346609</v>
      </c>
      <c r="AE13" s="1">
        <f t="shared" si="24"/>
        <v>1.1280528027638457</v>
      </c>
      <c r="AF13" s="1">
        <f t="shared" si="24"/>
        <v>-0.43348045428169552</v>
      </c>
      <c r="AG13" s="1">
        <f t="shared" si="24"/>
        <v>-0.13658331104312885</v>
      </c>
      <c r="AH13" s="1">
        <f t="shared" si="24"/>
        <v>-0.77835471870372142</v>
      </c>
      <c r="AI13" s="1">
        <f t="shared" si="24"/>
        <v>-0.44134913930495079</v>
      </c>
      <c r="AJ13" s="1">
        <f t="shared" si="24"/>
        <v>-0.62105387643327592</v>
      </c>
      <c r="AK13" s="1">
        <f t="shared" si="24"/>
        <v>0.32420834108259267</v>
      </c>
      <c r="AL13" s="1">
        <f t="shared" si="24"/>
        <v>-0.73977630463137267</v>
      </c>
      <c r="AM13" s="1">
        <f t="shared" si="24"/>
        <v>-0.86163163519983965</v>
      </c>
      <c r="AN13" s="1">
        <f t="shared" si="24"/>
        <v>-0.65482364965807971</v>
      </c>
      <c r="AO13" s="1">
        <f t="shared" si="24"/>
        <v>1.1119875708413662</v>
      </c>
      <c r="AP13" s="1">
        <f t="shared" si="24"/>
        <v>0.25779809665021142</v>
      </c>
      <c r="AQ13" s="1">
        <f t="shared" si="24"/>
        <v>-0.31027724711202281</v>
      </c>
      <c r="AR13" s="1">
        <f t="shared" si="24"/>
        <v>-1.5576823978819616</v>
      </c>
      <c r="AS13" s="1">
        <f t="shared" si="24"/>
        <v>-0.83467410317572432</v>
      </c>
      <c r="AT13" s="1">
        <f t="shared" si="24"/>
        <v>-0.80702441830234128</v>
      </c>
      <c r="AU13" s="1">
        <f t="shared" si="24"/>
        <v>0.8017209488827316</v>
      </c>
      <c r="AV13" s="1">
        <f t="shared" si="24"/>
        <v>-0.36317229643501653</v>
      </c>
      <c r="AW13" s="1">
        <f t="shared" si="24"/>
        <v>0.36107458758043676</v>
      </c>
      <c r="AX13" s="1">
        <f t="shared" si="24"/>
        <v>0.15331944550809984</v>
      </c>
      <c r="AY13" s="1">
        <f t="shared" si="24"/>
        <v>-0.14969778608188761</v>
      </c>
      <c r="AZ13" s="1">
        <f t="shared" si="24"/>
        <v>0.2669053709826828</v>
      </c>
      <c r="BA13" s="1">
        <f t="shared" si="24"/>
        <v>0.88991579351838435</v>
      </c>
      <c r="BB13" s="1">
        <f t="shared" ref="BB13:BY13" si="25">IF(AD13&gt;=1,1,0)</f>
        <v>1</v>
      </c>
      <c r="BC13" s="1">
        <f t="shared" si="25"/>
        <v>1</v>
      </c>
      <c r="BD13" s="1">
        <f t="shared" si="25"/>
        <v>0</v>
      </c>
      <c r="BE13" s="1">
        <f t="shared" si="25"/>
        <v>0</v>
      </c>
      <c r="BF13" s="1">
        <f t="shared" si="25"/>
        <v>0</v>
      </c>
      <c r="BG13" s="1">
        <f t="shared" si="25"/>
        <v>0</v>
      </c>
      <c r="BH13" s="1">
        <f t="shared" si="25"/>
        <v>0</v>
      </c>
      <c r="BI13" s="1">
        <f t="shared" si="25"/>
        <v>0</v>
      </c>
      <c r="BJ13" s="1">
        <f t="shared" si="25"/>
        <v>0</v>
      </c>
      <c r="BK13" s="1">
        <f t="shared" si="25"/>
        <v>0</v>
      </c>
      <c r="BL13" s="1">
        <f t="shared" si="25"/>
        <v>0</v>
      </c>
      <c r="BM13" s="1">
        <f t="shared" si="25"/>
        <v>1</v>
      </c>
      <c r="BN13" s="1">
        <f t="shared" si="25"/>
        <v>0</v>
      </c>
      <c r="BO13" s="1">
        <f t="shared" si="25"/>
        <v>0</v>
      </c>
      <c r="BP13" s="1">
        <f t="shared" si="25"/>
        <v>0</v>
      </c>
      <c r="BQ13" s="1">
        <f t="shared" si="25"/>
        <v>0</v>
      </c>
      <c r="BR13" s="1">
        <f t="shared" si="25"/>
        <v>0</v>
      </c>
      <c r="BS13" s="1">
        <f t="shared" si="25"/>
        <v>0</v>
      </c>
      <c r="BT13" s="1">
        <f t="shared" si="25"/>
        <v>0</v>
      </c>
      <c r="BU13" s="1">
        <f t="shared" si="25"/>
        <v>0</v>
      </c>
      <c r="BV13" s="1">
        <f t="shared" si="25"/>
        <v>0</v>
      </c>
      <c r="BW13" s="1">
        <f t="shared" si="25"/>
        <v>0</v>
      </c>
      <c r="BX13" s="1">
        <f t="shared" si="25"/>
        <v>0</v>
      </c>
      <c r="BY13" s="1">
        <f t="shared" si="25"/>
        <v>0</v>
      </c>
    </row>
    <row r="14" spans="1:90" x14ac:dyDescent="0.25">
      <c r="A14" s="1" t="s">
        <v>78</v>
      </c>
      <c r="B14" s="1" t="s">
        <v>79</v>
      </c>
      <c r="C14" s="1" t="s">
        <v>80</v>
      </c>
      <c r="D14" s="1">
        <v>4058770</v>
      </c>
      <c r="E14" s="1">
        <v>4365420</v>
      </c>
      <c r="F14" s="1">
        <v>6213450</v>
      </c>
      <c r="G14" s="1">
        <v>5174980</v>
      </c>
      <c r="H14" s="1">
        <v>4861590</v>
      </c>
      <c r="I14" s="1">
        <v>5222910</v>
      </c>
      <c r="J14" s="1">
        <v>6673070</v>
      </c>
      <c r="K14" s="1">
        <v>7012830</v>
      </c>
      <c r="L14" s="1">
        <v>6801260</v>
      </c>
      <c r="M14" s="1">
        <v>6227030</v>
      </c>
      <c r="N14" s="1">
        <v>6514360</v>
      </c>
      <c r="O14" s="1">
        <v>9397990</v>
      </c>
      <c r="P14" s="1">
        <v>8395140</v>
      </c>
      <c r="Q14" s="1">
        <v>7880060</v>
      </c>
      <c r="R14" s="1">
        <v>6484750</v>
      </c>
      <c r="S14" s="1">
        <v>6566010</v>
      </c>
      <c r="T14" s="1">
        <v>6080080</v>
      </c>
      <c r="U14" s="1">
        <v>7371780</v>
      </c>
      <c r="V14" s="1">
        <v>6437560</v>
      </c>
      <c r="W14" s="1">
        <v>7942980</v>
      </c>
      <c r="X14" s="1">
        <v>7506160</v>
      </c>
      <c r="Y14" s="1">
        <v>6686450</v>
      </c>
      <c r="Z14" s="1">
        <v>6457550</v>
      </c>
      <c r="AA14" s="1">
        <v>7795760</v>
      </c>
      <c r="AB14" s="3">
        <f t="shared" si="0"/>
        <v>6588664.166666667</v>
      </c>
      <c r="AC14" s="1">
        <f t="shared" si="1"/>
        <v>1261267.8386101504</v>
      </c>
      <c r="AD14" s="1">
        <f t="shared" ref="AD14:BA14" si="26">(D14-$AB14)/$AC14</f>
        <v>-2.0058342004934295</v>
      </c>
      <c r="AE14" s="1">
        <f t="shared" si="26"/>
        <v>-1.7627058255259747</v>
      </c>
      <c r="AF14" s="1">
        <f t="shared" si="26"/>
        <v>-0.29748968076450194</v>
      </c>
      <c r="AG14" s="1">
        <f t="shared" si="26"/>
        <v>-1.1208437441998611</v>
      </c>
      <c r="AH14" s="1">
        <f t="shared" si="26"/>
        <v>-1.3693159484426483</v>
      </c>
      <c r="AI14" s="1">
        <f t="shared" si="26"/>
        <v>-1.0828422995163778</v>
      </c>
      <c r="AJ14" s="1">
        <f t="shared" si="26"/>
        <v>6.6921418868766E-2</v>
      </c>
      <c r="AK14" s="1">
        <f t="shared" si="26"/>
        <v>0.33630115693803869</v>
      </c>
      <c r="AL14" s="1">
        <f t="shared" si="26"/>
        <v>0.16855724599114669</v>
      </c>
      <c r="AM14" s="1">
        <f t="shared" si="26"/>
        <v>-0.28672273691301642</v>
      </c>
      <c r="AN14" s="1">
        <f t="shared" si="26"/>
        <v>-5.8912282064169805E-2</v>
      </c>
      <c r="AO14" s="1">
        <f t="shared" si="26"/>
        <v>2.2273824379991005</v>
      </c>
      <c r="AP14" s="1">
        <f t="shared" si="26"/>
        <v>1.4322697987161654</v>
      </c>
      <c r="AQ14" s="1">
        <f t="shared" si="26"/>
        <v>1.0238870712475965</v>
      </c>
      <c r="AR14" s="1">
        <f t="shared" si="26"/>
        <v>-8.2388659637254225E-2</v>
      </c>
      <c r="AS14" s="1">
        <f t="shared" si="26"/>
        <v>-1.7961424190147159E-2</v>
      </c>
      <c r="AT14" s="1">
        <f t="shared" si="26"/>
        <v>-0.40323248646940801</v>
      </c>
      <c r="AU14" s="1">
        <f t="shared" si="26"/>
        <v>0.62089574423485239</v>
      </c>
      <c r="AV14" s="1">
        <f t="shared" si="26"/>
        <v>-0.11980339309466233</v>
      </c>
      <c r="AW14" s="1">
        <f t="shared" si="26"/>
        <v>1.0737733825241407</v>
      </c>
      <c r="AX14" s="1">
        <f t="shared" si="26"/>
        <v>0.72743933147805018</v>
      </c>
      <c r="AY14" s="1">
        <f t="shared" si="26"/>
        <v>7.7529792118609622E-2</v>
      </c>
      <c r="AZ14" s="1">
        <f t="shared" si="26"/>
        <v>-0.10395426146055367</v>
      </c>
      <c r="BA14" s="1">
        <f t="shared" si="26"/>
        <v>0.95704956265553243</v>
      </c>
      <c r="BB14" s="1">
        <f t="shared" ref="BB14:BY14" si="27">IF(AD14&gt;=1,1,0)</f>
        <v>0</v>
      </c>
      <c r="BC14" s="1">
        <f t="shared" si="27"/>
        <v>0</v>
      </c>
      <c r="BD14" s="1">
        <f t="shared" si="27"/>
        <v>0</v>
      </c>
      <c r="BE14" s="1">
        <f t="shared" si="27"/>
        <v>0</v>
      </c>
      <c r="BF14" s="1">
        <f t="shared" si="27"/>
        <v>0</v>
      </c>
      <c r="BG14" s="1">
        <f t="shared" si="27"/>
        <v>0</v>
      </c>
      <c r="BH14" s="1">
        <f t="shared" si="27"/>
        <v>0</v>
      </c>
      <c r="BI14" s="1">
        <f t="shared" si="27"/>
        <v>0</v>
      </c>
      <c r="BJ14" s="1">
        <f t="shared" si="27"/>
        <v>0</v>
      </c>
      <c r="BK14" s="1">
        <f t="shared" si="27"/>
        <v>0</v>
      </c>
      <c r="BL14" s="1">
        <f t="shared" si="27"/>
        <v>0</v>
      </c>
      <c r="BM14" s="1">
        <f t="shared" si="27"/>
        <v>1</v>
      </c>
      <c r="BN14" s="1">
        <f t="shared" si="27"/>
        <v>1</v>
      </c>
      <c r="BO14" s="1">
        <f t="shared" si="27"/>
        <v>1</v>
      </c>
      <c r="BP14" s="1">
        <f t="shared" si="27"/>
        <v>0</v>
      </c>
      <c r="BQ14" s="1">
        <f t="shared" si="27"/>
        <v>0</v>
      </c>
      <c r="BR14" s="1">
        <f t="shared" si="27"/>
        <v>0</v>
      </c>
      <c r="BS14" s="1">
        <f t="shared" si="27"/>
        <v>0</v>
      </c>
      <c r="BT14" s="1">
        <f t="shared" si="27"/>
        <v>0</v>
      </c>
      <c r="BU14" s="1">
        <f t="shared" si="27"/>
        <v>1</v>
      </c>
      <c r="BV14" s="1">
        <f t="shared" si="27"/>
        <v>0</v>
      </c>
      <c r="BW14" s="1">
        <f t="shared" si="27"/>
        <v>0</v>
      </c>
      <c r="BX14" s="1">
        <f t="shared" si="27"/>
        <v>0</v>
      </c>
      <c r="BY14" s="1">
        <f t="shared" si="27"/>
        <v>0</v>
      </c>
    </row>
    <row r="15" spans="1:90" x14ac:dyDescent="0.25">
      <c r="A15" s="1" t="s">
        <v>81</v>
      </c>
      <c r="B15" s="1" t="s">
        <v>79</v>
      </c>
      <c r="C15" s="1" t="s">
        <v>82</v>
      </c>
      <c r="D15" s="1">
        <v>226730</v>
      </c>
      <c r="E15" s="1">
        <v>304030</v>
      </c>
      <c r="F15" s="1">
        <v>281660</v>
      </c>
      <c r="G15" s="1">
        <v>334200</v>
      </c>
      <c r="H15" s="1">
        <v>277800</v>
      </c>
      <c r="I15" s="1">
        <v>293940</v>
      </c>
      <c r="J15" s="1">
        <v>382060</v>
      </c>
      <c r="K15" s="1">
        <v>546080</v>
      </c>
      <c r="L15" s="1">
        <v>601040</v>
      </c>
      <c r="M15" s="1">
        <v>659510</v>
      </c>
      <c r="N15" s="1">
        <v>753010</v>
      </c>
      <c r="O15" s="1">
        <v>1123290</v>
      </c>
      <c r="P15" s="1">
        <v>1207530</v>
      </c>
      <c r="Q15" s="1">
        <v>1383210</v>
      </c>
      <c r="R15" s="1">
        <v>948140</v>
      </c>
      <c r="S15" s="1">
        <v>1316550</v>
      </c>
      <c r="T15" s="1">
        <v>1274160</v>
      </c>
      <c r="U15" s="1">
        <v>1249600</v>
      </c>
      <c r="V15" s="1">
        <v>1040040</v>
      </c>
      <c r="W15" s="1">
        <v>1459440</v>
      </c>
      <c r="X15" s="1">
        <v>1439540</v>
      </c>
      <c r="Y15" s="1">
        <v>1184420</v>
      </c>
      <c r="Z15" s="1">
        <v>1432170</v>
      </c>
      <c r="AA15" s="1">
        <v>2073480</v>
      </c>
      <c r="AB15" s="3">
        <f t="shared" si="0"/>
        <v>907984.58333333337</v>
      </c>
      <c r="AC15" s="1">
        <f t="shared" si="1"/>
        <v>511052.3217660081</v>
      </c>
      <c r="AD15" s="1">
        <f t="shared" ref="AD15:BA15" si="28">(D15-$AB15)/$AC15</f>
        <v>-1.333042732257177</v>
      </c>
      <c r="AE15" s="1">
        <f t="shared" si="28"/>
        <v>-1.1817862038984372</v>
      </c>
      <c r="AF15" s="1">
        <f t="shared" si="28"/>
        <v>-1.2255586300224346</v>
      </c>
      <c r="AG15" s="1">
        <f t="shared" si="28"/>
        <v>-1.1227511526619147</v>
      </c>
      <c r="AH15" s="1">
        <f t="shared" si="28"/>
        <v>-1.2331116727063252</v>
      </c>
      <c r="AI15" s="1">
        <f t="shared" si="28"/>
        <v>-1.2015297792042545</v>
      </c>
      <c r="AJ15" s="1">
        <f t="shared" si="28"/>
        <v>-1.0291012503689099</v>
      </c>
      <c r="AK15" s="1">
        <f t="shared" si="28"/>
        <v>-0.70815563870784259</v>
      </c>
      <c r="AL15" s="1">
        <f t="shared" si="28"/>
        <v>-0.60061283406882149</v>
      </c>
      <c r="AM15" s="1">
        <f t="shared" si="28"/>
        <v>-0.48620184812916412</v>
      </c>
      <c r="AN15" s="1">
        <f t="shared" si="28"/>
        <v>-0.30324602145979584</v>
      </c>
      <c r="AO15" s="1">
        <f t="shared" si="28"/>
        <v>0.42129818708708849</v>
      </c>
      <c r="AP15" s="1">
        <f t="shared" si="28"/>
        <v>0.58613453830235673</v>
      </c>
      <c r="AQ15" s="1">
        <f t="shared" si="28"/>
        <v>0.92989581775983932</v>
      </c>
      <c r="AR15" s="1">
        <f t="shared" si="28"/>
        <v>7.8573983438533918E-2</v>
      </c>
      <c r="AS15" s="1">
        <f t="shared" si="28"/>
        <v>0.79945907545203088</v>
      </c>
      <c r="AT15" s="1">
        <f t="shared" si="28"/>
        <v>0.71651257820588621</v>
      </c>
      <c r="AU15" s="1">
        <f t="shared" si="28"/>
        <v>0.66845487656952596</v>
      </c>
      <c r="AV15" s="1">
        <f t="shared" si="28"/>
        <v>0.25839901521302527</v>
      </c>
      <c r="AW15" s="1">
        <f t="shared" si="28"/>
        <v>1.0790586270326301</v>
      </c>
      <c r="AX15" s="1">
        <f t="shared" si="28"/>
        <v>1.0401193655275989</v>
      </c>
      <c r="AY15" s="1">
        <f t="shared" si="28"/>
        <v>0.54091411953947865</v>
      </c>
      <c r="AZ15" s="1">
        <f t="shared" si="28"/>
        <v>1.0256981415430722</v>
      </c>
      <c r="BA15" s="1">
        <f t="shared" si="28"/>
        <v>2.2805794378140085</v>
      </c>
      <c r="BB15" s="1">
        <f t="shared" ref="BB15:BY15" si="29">IF(AD15&gt;=1,1,0)</f>
        <v>0</v>
      </c>
      <c r="BC15" s="1">
        <f t="shared" si="29"/>
        <v>0</v>
      </c>
      <c r="BD15" s="1">
        <f t="shared" si="29"/>
        <v>0</v>
      </c>
      <c r="BE15" s="1">
        <f t="shared" si="29"/>
        <v>0</v>
      </c>
      <c r="BF15" s="1">
        <f t="shared" si="29"/>
        <v>0</v>
      </c>
      <c r="BG15" s="1">
        <f t="shared" si="29"/>
        <v>0</v>
      </c>
      <c r="BH15" s="1">
        <f t="shared" si="29"/>
        <v>0</v>
      </c>
      <c r="BI15" s="1">
        <f t="shared" si="29"/>
        <v>0</v>
      </c>
      <c r="BJ15" s="1">
        <f t="shared" si="29"/>
        <v>0</v>
      </c>
      <c r="BK15" s="1">
        <f t="shared" si="29"/>
        <v>0</v>
      </c>
      <c r="BL15" s="1">
        <f t="shared" si="29"/>
        <v>0</v>
      </c>
      <c r="BM15" s="1">
        <f t="shared" si="29"/>
        <v>0</v>
      </c>
      <c r="BN15" s="1">
        <f t="shared" si="29"/>
        <v>0</v>
      </c>
      <c r="BO15" s="1">
        <f t="shared" si="29"/>
        <v>0</v>
      </c>
      <c r="BP15" s="1">
        <f t="shared" si="29"/>
        <v>0</v>
      </c>
      <c r="BQ15" s="1">
        <f t="shared" si="29"/>
        <v>0</v>
      </c>
      <c r="BR15" s="1">
        <f t="shared" si="29"/>
        <v>0</v>
      </c>
      <c r="BS15" s="1">
        <f t="shared" si="29"/>
        <v>0</v>
      </c>
      <c r="BT15" s="1">
        <f t="shared" si="29"/>
        <v>0</v>
      </c>
      <c r="BU15" s="1">
        <f t="shared" si="29"/>
        <v>1</v>
      </c>
      <c r="BV15" s="1">
        <f t="shared" si="29"/>
        <v>1</v>
      </c>
      <c r="BW15" s="1">
        <f t="shared" si="29"/>
        <v>0</v>
      </c>
      <c r="BX15" s="1">
        <f t="shared" si="29"/>
        <v>1</v>
      </c>
      <c r="BY15" s="1">
        <f t="shared" si="29"/>
        <v>1</v>
      </c>
    </row>
    <row r="16" spans="1:90" x14ac:dyDescent="0.25">
      <c r="A16" s="1" t="s">
        <v>83</v>
      </c>
      <c r="B16" s="1" t="s">
        <v>79</v>
      </c>
      <c r="C16" s="1" t="s">
        <v>82</v>
      </c>
      <c r="D16" s="1">
        <v>416370</v>
      </c>
      <c r="E16" s="1">
        <v>414130</v>
      </c>
      <c r="F16" s="1">
        <v>509810</v>
      </c>
      <c r="G16" s="1">
        <v>472270</v>
      </c>
      <c r="H16" s="1">
        <v>427460</v>
      </c>
      <c r="I16" s="1">
        <v>397690</v>
      </c>
      <c r="J16" s="1">
        <v>389250</v>
      </c>
      <c r="K16" s="1">
        <v>457700</v>
      </c>
      <c r="L16" s="1">
        <v>445010</v>
      </c>
      <c r="M16" s="1">
        <v>560190</v>
      </c>
      <c r="N16" s="1">
        <v>470140</v>
      </c>
      <c r="O16" s="1">
        <v>467190</v>
      </c>
      <c r="P16" s="1">
        <v>424690</v>
      </c>
      <c r="Q16" s="1">
        <v>467940</v>
      </c>
      <c r="R16" s="1">
        <v>457610</v>
      </c>
      <c r="S16" s="1">
        <v>659500</v>
      </c>
      <c r="T16" s="1">
        <v>915420</v>
      </c>
      <c r="U16" s="1">
        <v>926640</v>
      </c>
      <c r="V16" s="1">
        <v>704880</v>
      </c>
      <c r="W16" s="1">
        <v>822470</v>
      </c>
      <c r="X16" s="1">
        <v>635670</v>
      </c>
      <c r="Y16" s="1">
        <v>640350</v>
      </c>
      <c r="Z16" s="1">
        <v>594350</v>
      </c>
      <c r="AA16" s="1">
        <v>551960</v>
      </c>
      <c r="AB16" s="3">
        <f t="shared" si="0"/>
        <v>551195.41666666663</v>
      </c>
      <c r="AC16" s="1">
        <f t="shared" si="1"/>
        <v>158104.20847956344</v>
      </c>
      <c r="AD16" s="1">
        <f t="shared" ref="AD16:BA16" si="30">(D16-$AB16)/$AC16</f>
        <v>-0.85276298438377218</v>
      </c>
      <c r="AE16" s="1">
        <f t="shared" si="30"/>
        <v>-0.86693085519215451</v>
      </c>
      <c r="AF16" s="1">
        <f t="shared" si="30"/>
        <v>-0.26176037351982384</v>
      </c>
      <c r="AG16" s="1">
        <f t="shared" si="30"/>
        <v>-0.4991987084067312</v>
      </c>
      <c r="AH16" s="1">
        <f t="shared" si="30"/>
        <v>-0.78261937399762938</v>
      </c>
      <c r="AI16" s="1">
        <f t="shared" si="30"/>
        <v>-0.97091290701796051</v>
      </c>
      <c r="AJ16" s="1">
        <f t="shared" si="30"/>
        <v>-1.0242954202424011</v>
      </c>
      <c r="AK16" s="1">
        <f t="shared" si="30"/>
        <v>-0.591353118084468</v>
      </c>
      <c r="AL16" s="1">
        <f t="shared" si="30"/>
        <v>-0.67161663619088396</v>
      </c>
      <c r="AM16" s="1">
        <f t="shared" si="30"/>
        <v>5.6890220822275024E-2</v>
      </c>
      <c r="AN16" s="1">
        <f t="shared" si="30"/>
        <v>-0.51267083555934478</v>
      </c>
      <c r="AO16" s="1">
        <f t="shared" si="30"/>
        <v>-0.53132941541859824</v>
      </c>
      <c r="AP16" s="1">
        <f t="shared" si="30"/>
        <v>-0.80013946423835214</v>
      </c>
      <c r="AQ16" s="1">
        <f t="shared" si="30"/>
        <v>-0.52658570867472021</v>
      </c>
      <c r="AR16" s="1">
        <f t="shared" si="30"/>
        <v>-0.59192236289373334</v>
      </c>
      <c r="AS16" s="1">
        <f t="shared" si="30"/>
        <v>0.68502024313497534</v>
      </c>
      <c r="AT16" s="1">
        <f t="shared" si="30"/>
        <v>2.3036994829926556</v>
      </c>
      <c r="AU16" s="1">
        <f t="shared" si="30"/>
        <v>2.3746653358810708</v>
      </c>
      <c r="AV16" s="1">
        <f t="shared" si="30"/>
        <v>0.97204612585122074</v>
      </c>
      <c r="AW16" s="1">
        <f t="shared" si="30"/>
        <v>1.715796093868041</v>
      </c>
      <c r="AX16" s="1">
        <f t="shared" si="30"/>
        <v>0.53429686752615801</v>
      </c>
      <c r="AY16" s="1">
        <f t="shared" si="30"/>
        <v>0.56389759760795677</v>
      </c>
      <c r="AZ16" s="1">
        <f t="shared" si="30"/>
        <v>0.27295025065010547</v>
      </c>
      <c r="BA16" s="1">
        <f t="shared" si="30"/>
        <v>4.8359454861203284E-3</v>
      </c>
      <c r="BB16" s="1">
        <f t="shared" ref="BB16:BY16" si="31">IF(AD16&gt;=1,1,0)</f>
        <v>0</v>
      </c>
      <c r="BC16" s="1">
        <f t="shared" si="31"/>
        <v>0</v>
      </c>
      <c r="BD16" s="1">
        <f t="shared" si="31"/>
        <v>0</v>
      </c>
      <c r="BE16" s="1">
        <f t="shared" si="31"/>
        <v>0</v>
      </c>
      <c r="BF16" s="1">
        <f t="shared" si="31"/>
        <v>0</v>
      </c>
      <c r="BG16" s="1">
        <f t="shared" si="31"/>
        <v>0</v>
      </c>
      <c r="BH16" s="1">
        <f t="shared" si="31"/>
        <v>0</v>
      </c>
      <c r="BI16" s="1">
        <f t="shared" si="31"/>
        <v>0</v>
      </c>
      <c r="BJ16" s="1">
        <f t="shared" si="31"/>
        <v>0</v>
      </c>
      <c r="BK16" s="1">
        <f t="shared" si="31"/>
        <v>0</v>
      </c>
      <c r="BL16" s="1">
        <f t="shared" si="31"/>
        <v>0</v>
      </c>
      <c r="BM16" s="1">
        <f t="shared" si="31"/>
        <v>0</v>
      </c>
      <c r="BN16" s="1">
        <f t="shared" si="31"/>
        <v>0</v>
      </c>
      <c r="BO16" s="1">
        <f t="shared" si="31"/>
        <v>0</v>
      </c>
      <c r="BP16" s="1">
        <f t="shared" si="31"/>
        <v>0</v>
      </c>
      <c r="BQ16" s="1">
        <f t="shared" si="31"/>
        <v>0</v>
      </c>
      <c r="BR16" s="1">
        <f t="shared" si="31"/>
        <v>1</v>
      </c>
      <c r="BS16" s="1">
        <f t="shared" si="31"/>
        <v>1</v>
      </c>
      <c r="BT16" s="1">
        <f t="shared" si="31"/>
        <v>0</v>
      </c>
      <c r="BU16" s="1">
        <f t="shared" si="31"/>
        <v>1</v>
      </c>
      <c r="BV16" s="1">
        <f t="shared" si="31"/>
        <v>0</v>
      </c>
      <c r="BW16" s="1">
        <f t="shared" si="31"/>
        <v>0</v>
      </c>
      <c r="BX16" s="1">
        <f t="shared" si="31"/>
        <v>0</v>
      </c>
      <c r="BY16" s="1">
        <f t="shared" si="31"/>
        <v>0</v>
      </c>
    </row>
    <row r="17" spans="1:77" x14ac:dyDescent="0.25">
      <c r="A17" s="4" t="s">
        <v>84</v>
      </c>
      <c r="B17" s="1" t="s">
        <v>63</v>
      </c>
      <c r="C17" s="1" t="s">
        <v>64</v>
      </c>
      <c r="D17" s="1">
        <v>21492280</v>
      </c>
      <c r="E17" s="1">
        <v>17800220</v>
      </c>
      <c r="F17" s="1">
        <v>18178310</v>
      </c>
      <c r="G17" s="1">
        <v>17239080</v>
      </c>
      <c r="H17" s="1">
        <v>16783020</v>
      </c>
      <c r="I17" s="1">
        <v>15499890</v>
      </c>
      <c r="J17" s="1">
        <v>14864570</v>
      </c>
      <c r="K17" s="1">
        <v>15365190</v>
      </c>
      <c r="L17" s="1">
        <v>14346160</v>
      </c>
      <c r="M17" s="1">
        <v>14409620</v>
      </c>
      <c r="N17" s="1">
        <v>15494860</v>
      </c>
      <c r="O17" s="1">
        <v>23382410</v>
      </c>
      <c r="P17" s="1">
        <v>20026310</v>
      </c>
      <c r="Q17" s="1">
        <v>14809820</v>
      </c>
      <c r="R17" s="1">
        <v>11212540</v>
      </c>
      <c r="S17" s="1">
        <v>10454760</v>
      </c>
      <c r="T17" s="1">
        <v>9457970</v>
      </c>
      <c r="U17" s="1">
        <v>9477610</v>
      </c>
      <c r="V17" s="1">
        <v>9265930</v>
      </c>
      <c r="W17" s="1">
        <v>9608480</v>
      </c>
      <c r="X17" s="1">
        <v>9530550</v>
      </c>
      <c r="Y17" s="1">
        <v>9611240</v>
      </c>
      <c r="Z17" s="1">
        <v>11355630</v>
      </c>
      <c r="AA17" s="1">
        <v>17703330</v>
      </c>
      <c r="AB17" s="3">
        <f t="shared" si="0"/>
        <v>14473740.833333334</v>
      </c>
      <c r="AC17" s="1">
        <f t="shared" si="1"/>
        <v>4151122.3692351542</v>
      </c>
      <c r="AD17" s="1">
        <f t="shared" ref="AD17:BA17" si="32">(D17-$AB17)/$AC17</f>
        <v>1.6907569910929496</v>
      </c>
      <c r="AE17" s="1">
        <f t="shared" si="32"/>
        <v>0.80134452101916021</v>
      </c>
      <c r="AF17" s="1">
        <f t="shared" si="32"/>
        <v>0.8924259121152418</v>
      </c>
      <c r="AG17" s="1">
        <f t="shared" si="32"/>
        <v>0.66616662210711475</v>
      </c>
      <c r="AH17" s="1">
        <f t="shared" si="32"/>
        <v>0.5563023590393823</v>
      </c>
      <c r="AI17" s="1">
        <f t="shared" si="32"/>
        <v>0.24719800463404176</v>
      </c>
      <c r="AJ17" s="1">
        <f t="shared" si="32"/>
        <v>9.4150239839515135E-2</v>
      </c>
      <c r="AK17" s="1">
        <f t="shared" si="32"/>
        <v>0.21474894916935824</v>
      </c>
      <c r="AL17" s="1">
        <f t="shared" si="32"/>
        <v>-3.0734057439227157E-2</v>
      </c>
      <c r="AM17" s="1">
        <f t="shared" si="32"/>
        <v>-1.5446625666481676E-2</v>
      </c>
      <c r="AN17" s="1">
        <f t="shared" si="32"/>
        <v>0.24598628415158177</v>
      </c>
      <c r="AO17" s="1">
        <f t="shared" si="32"/>
        <v>2.1460868589879927</v>
      </c>
      <c r="AP17" s="1">
        <f t="shared" si="32"/>
        <v>1.3376067175995414</v>
      </c>
      <c r="AQ17" s="1">
        <f t="shared" si="32"/>
        <v>8.096103578092996E-2</v>
      </c>
      <c r="AR17" s="1">
        <f t="shared" si="32"/>
        <v>-0.78561905510249064</v>
      </c>
      <c r="AS17" s="1">
        <f t="shared" si="32"/>
        <v>-0.96816727522148005</v>
      </c>
      <c r="AT17" s="1">
        <f t="shared" si="32"/>
        <v>-1.2082926946471808</v>
      </c>
      <c r="AU17" s="1">
        <f t="shared" si="32"/>
        <v>-1.2035614440953888</v>
      </c>
      <c r="AV17" s="1">
        <f t="shared" si="32"/>
        <v>-1.2545548818144994</v>
      </c>
      <c r="AW17" s="1">
        <f t="shared" si="32"/>
        <v>-1.1720350306680456</v>
      </c>
      <c r="AX17" s="1">
        <f t="shared" si="32"/>
        <v>-1.1908082666915258</v>
      </c>
      <c r="AY17" s="1">
        <f t="shared" si="32"/>
        <v>-1.1713701502442704</v>
      </c>
      <c r="AZ17" s="1">
        <f t="shared" si="32"/>
        <v>-0.751148859509012</v>
      </c>
      <c r="BA17" s="1">
        <f t="shared" si="32"/>
        <v>0.77800384556278912</v>
      </c>
      <c r="BB17" s="1">
        <f t="shared" ref="BB17:BY17" si="33">IF(AD17&gt;=1,1,0)</f>
        <v>1</v>
      </c>
      <c r="BC17" s="1">
        <f t="shared" si="33"/>
        <v>0</v>
      </c>
      <c r="BD17" s="1">
        <f t="shared" si="33"/>
        <v>0</v>
      </c>
      <c r="BE17" s="1">
        <f t="shared" si="33"/>
        <v>0</v>
      </c>
      <c r="BF17" s="1">
        <f t="shared" si="33"/>
        <v>0</v>
      </c>
      <c r="BG17" s="1">
        <f t="shared" si="33"/>
        <v>0</v>
      </c>
      <c r="BH17" s="1">
        <f t="shared" si="33"/>
        <v>0</v>
      </c>
      <c r="BI17" s="1">
        <f t="shared" si="33"/>
        <v>0</v>
      </c>
      <c r="BJ17" s="1">
        <f t="shared" si="33"/>
        <v>0</v>
      </c>
      <c r="BK17" s="1">
        <f t="shared" si="33"/>
        <v>0</v>
      </c>
      <c r="BL17" s="1">
        <f t="shared" si="33"/>
        <v>0</v>
      </c>
      <c r="BM17" s="1">
        <f t="shared" si="33"/>
        <v>1</v>
      </c>
      <c r="BN17" s="1">
        <f t="shared" si="33"/>
        <v>1</v>
      </c>
      <c r="BO17" s="1">
        <f t="shared" si="33"/>
        <v>0</v>
      </c>
      <c r="BP17" s="1">
        <f t="shared" si="33"/>
        <v>0</v>
      </c>
      <c r="BQ17" s="1">
        <f t="shared" si="33"/>
        <v>0</v>
      </c>
      <c r="BR17" s="1">
        <f t="shared" si="33"/>
        <v>0</v>
      </c>
      <c r="BS17" s="1">
        <f t="shared" si="33"/>
        <v>0</v>
      </c>
      <c r="BT17" s="1">
        <f t="shared" si="33"/>
        <v>0</v>
      </c>
      <c r="BU17" s="1">
        <f t="shared" si="33"/>
        <v>0</v>
      </c>
      <c r="BV17" s="1">
        <f t="shared" si="33"/>
        <v>0</v>
      </c>
      <c r="BW17" s="1">
        <f t="shared" si="33"/>
        <v>0</v>
      </c>
      <c r="BX17" s="1">
        <f t="shared" si="33"/>
        <v>0</v>
      </c>
      <c r="BY17" s="1">
        <f t="shared" si="33"/>
        <v>0</v>
      </c>
    </row>
    <row r="18" spans="1:77" x14ac:dyDescent="0.25">
      <c r="A18" s="4" t="s">
        <v>85</v>
      </c>
      <c r="B18" s="1" t="s">
        <v>72</v>
      </c>
      <c r="C18" s="1" t="s">
        <v>73</v>
      </c>
      <c r="D18" s="1">
        <v>107333520</v>
      </c>
      <c r="E18" s="1">
        <v>105711470</v>
      </c>
      <c r="F18" s="1">
        <v>105053660</v>
      </c>
      <c r="G18" s="1">
        <v>106763750</v>
      </c>
      <c r="H18" s="1">
        <v>105076710</v>
      </c>
      <c r="I18" s="1">
        <v>104035820</v>
      </c>
      <c r="J18" s="1">
        <v>103702630</v>
      </c>
      <c r="K18" s="1">
        <v>105255300</v>
      </c>
      <c r="L18" s="1">
        <v>105259170</v>
      </c>
      <c r="M18" s="1">
        <v>105269910</v>
      </c>
      <c r="N18" s="1">
        <v>104773500</v>
      </c>
      <c r="O18" s="1">
        <v>128179870</v>
      </c>
      <c r="P18" s="1">
        <v>137667360</v>
      </c>
      <c r="Q18" s="1">
        <v>123451110</v>
      </c>
      <c r="R18" s="1">
        <v>101697950</v>
      </c>
      <c r="S18" s="1">
        <v>123874780</v>
      </c>
      <c r="T18" s="1">
        <v>147717470</v>
      </c>
      <c r="U18" s="1">
        <v>147999340</v>
      </c>
      <c r="V18" s="1">
        <v>122561500</v>
      </c>
      <c r="W18" s="1">
        <v>122257460</v>
      </c>
      <c r="X18" s="1">
        <v>122349160</v>
      </c>
      <c r="Y18" s="1">
        <v>147182580</v>
      </c>
      <c r="Z18" s="1">
        <v>147033030</v>
      </c>
      <c r="AA18" s="1">
        <v>147580350</v>
      </c>
      <c r="AB18" s="3">
        <f t="shared" si="0"/>
        <v>119907808.33333333</v>
      </c>
      <c r="AC18" s="1">
        <f t="shared" si="1"/>
        <v>17358569.399142005</v>
      </c>
      <c r="AD18" s="1">
        <f t="shared" ref="AD18:BA18" si="34">(D18-$AB18)/$AC18</f>
        <v>-0.72438505986298896</v>
      </c>
      <c r="AE18" s="1">
        <f t="shared" si="34"/>
        <v>-0.81782882027334702</v>
      </c>
      <c r="AF18" s="1">
        <f t="shared" si="34"/>
        <v>-0.85572422425937567</v>
      </c>
      <c r="AG18" s="1">
        <f t="shared" si="34"/>
        <v>-0.75720861731745071</v>
      </c>
      <c r="AH18" s="1">
        <f t="shared" si="34"/>
        <v>-0.85439634985509794</v>
      </c>
      <c r="AI18" s="1">
        <f t="shared" si="34"/>
        <v>-0.91436039274744874</v>
      </c>
      <c r="AJ18" s="1">
        <f t="shared" si="34"/>
        <v>-0.93355494688026042</v>
      </c>
      <c r="AK18" s="1">
        <f t="shared" si="34"/>
        <v>-0.84410805962256141</v>
      </c>
      <c r="AL18" s="1">
        <f t="shared" si="34"/>
        <v>-0.84388511498288432</v>
      </c>
      <c r="AM18" s="1">
        <f t="shared" si="34"/>
        <v>-0.84326640040145517</v>
      </c>
      <c r="AN18" s="1">
        <f t="shared" si="34"/>
        <v>-0.87186380313583811</v>
      </c>
      <c r="AO18" s="1">
        <f t="shared" si="34"/>
        <v>0.47654051877544362</v>
      </c>
      <c r="AP18" s="1">
        <f t="shared" si="34"/>
        <v>1.0230999605039162</v>
      </c>
      <c r="AQ18" s="1">
        <f t="shared" si="34"/>
        <v>0.20412406029507299</v>
      </c>
      <c r="AR18" s="1">
        <f t="shared" si="34"/>
        <v>-1.0490414224016296</v>
      </c>
      <c r="AS18" s="1">
        <f t="shared" si="34"/>
        <v>0.22853102553847268</v>
      </c>
      <c r="AT18" s="1">
        <f t="shared" si="34"/>
        <v>1.6020710593835712</v>
      </c>
      <c r="AU18" s="1">
        <f t="shared" si="34"/>
        <v>1.6183091486822165</v>
      </c>
      <c r="AV18" s="1">
        <f t="shared" si="34"/>
        <v>0.15287502130203412</v>
      </c>
      <c r="AW18" s="1">
        <f t="shared" si="34"/>
        <v>0.13535975302105308</v>
      </c>
      <c r="AX18" s="1">
        <f t="shared" si="34"/>
        <v>0.14064244642115162</v>
      </c>
      <c r="AY18" s="1">
        <f t="shared" si="34"/>
        <v>1.5712568841079038</v>
      </c>
      <c r="AZ18" s="1">
        <f t="shared" si="34"/>
        <v>1.5626415427994551</v>
      </c>
      <c r="BA18" s="1">
        <f t="shared" si="34"/>
        <v>1.5941717909100541</v>
      </c>
      <c r="BB18" s="1">
        <f t="shared" ref="BB18:BY18" si="35">IF(AD18&gt;=1,1,0)</f>
        <v>0</v>
      </c>
      <c r="BC18" s="1">
        <f t="shared" si="35"/>
        <v>0</v>
      </c>
      <c r="BD18" s="1">
        <f t="shared" si="35"/>
        <v>0</v>
      </c>
      <c r="BE18" s="1">
        <f t="shared" si="35"/>
        <v>0</v>
      </c>
      <c r="BF18" s="1">
        <f t="shared" si="35"/>
        <v>0</v>
      </c>
      <c r="BG18" s="1">
        <f t="shared" si="35"/>
        <v>0</v>
      </c>
      <c r="BH18" s="1">
        <f t="shared" si="35"/>
        <v>0</v>
      </c>
      <c r="BI18" s="1">
        <f t="shared" si="35"/>
        <v>0</v>
      </c>
      <c r="BJ18" s="1">
        <f t="shared" si="35"/>
        <v>0</v>
      </c>
      <c r="BK18" s="1">
        <f t="shared" si="35"/>
        <v>0</v>
      </c>
      <c r="BL18" s="1">
        <f t="shared" si="35"/>
        <v>0</v>
      </c>
      <c r="BM18" s="1">
        <f t="shared" si="35"/>
        <v>0</v>
      </c>
      <c r="BN18" s="1">
        <f t="shared" si="35"/>
        <v>1</v>
      </c>
      <c r="BO18" s="1">
        <f t="shared" si="35"/>
        <v>0</v>
      </c>
      <c r="BP18" s="1">
        <f t="shared" si="35"/>
        <v>0</v>
      </c>
      <c r="BQ18" s="1">
        <f t="shared" si="35"/>
        <v>0</v>
      </c>
      <c r="BR18" s="1">
        <f t="shared" si="35"/>
        <v>1</v>
      </c>
      <c r="BS18" s="1">
        <f t="shared" si="35"/>
        <v>1</v>
      </c>
      <c r="BT18" s="1">
        <f t="shared" si="35"/>
        <v>0</v>
      </c>
      <c r="BU18" s="1">
        <f t="shared" si="35"/>
        <v>0</v>
      </c>
      <c r="BV18" s="1">
        <f t="shared" si="35"/>
        <v>0</v>
      </c>
      <c r="BW18" s="1">
        <f t="shared" si="35"/>
        <v>1</v>
      </c>
      <c r="BX18" s="1">
        <f t="shared" si="35"/>
        <v>1</v>
      </c>
      <c r="BY18" s="1">
        <f t="shared" si="35"/>
        <v>1</v>
      </c>
    </row>
    <row r="19" spans="1:77" x14ac:dyDescent="0.25">
      <c r="A19" s="4" t="s">
        <v>86</v>
      </c>
      <c r="B19" s="1" t="s">
        <v>79</v>
      </c>
      <c r="C19" s="1" t="s">
        <v>79</v>
      </c>
      <c r="D19" s="1">
        <v>3883390</v>
      </c>
      <c r="E19" s="1">
        <v>3253880</v>
      </c>
      <c r="F19" s="1">
        <v>2603750</v>
      </c>
      <c r="G19" s="1">
        <v>2634680</v>
      </c>
      <c r="H19" s="1">
        <v>3064010</v>
      </c>
      <c r="I19" s="1">
        <v>2536660</v>
      </c>
      <c r="J19" s="1">
        <v>2261900</v>
      </c>
      <c r="K19" s="1">
        <v>2628960</v>
      </c>
      <c r="L19" s="1">
        <v>2197670</v>
      </c>
      <c r="M19" s="1">
        <v>2429090</v>
      </c>
      <c r="N19" s="1">
        <v>2200390</v>
      </c>
      <c r="O19" s="1">
        <v>2878870</v>
      </c>
      <c r="P19" s="1">
        <v>2979990</v>
      </c>
      <c r="Q19" s="1">
        <v>2743370</v>
      </c>
      <c r="R19" s="1">
        <v>2099980</v>
      </c>
      <c r="S19" s="1">
        <v>2419040</v>
      </c>
      <c r="T19" s="1">
        <v>2167090</v>
      </c>
      <c r="U19" s="1">
        <v>1807460</v>
      </c>
      <c r="V19" s="1">
        <v>1556530</v>
      </c>
      <c r="W19" s="1">
        <v>1843830</v>
      </c>
      <c r="X19" s="1">
        <v>2764440</v>
      </c>
      <c r="Y19" s="1">
        <v>1861280</v>
      </c>
      <c r="Z19" s="1">
        <v>2116040</v>
      </c>
      <c r="AA19" s="1">
        <v>2598270</v>
      </c>
      <c r="AB19" s="3">
        <f t="shared" si="0"/>
        <v>2480440.4166666665</v>
      </c>
      <c r="AC19" s="1">
        <f t="shared" si="1"/>
        <v>520310.81866664893</v>
      </c>
      <c r="AD19" s="1">
        <f t="shared" ref="AD19:BA19" si="36">(D19-$AB19)/$AC19</f>
        <v>2.6963682725808757</v>
      </c>
      <c r="AE19" s="1">
        <f t="shared" si="36"/>
        <v>1.4864952939386376</v>
      </c>
      <c r="AF19" s="1">
        <f t="shared" si="36"/>
        <v>0.2369921572058164</v>
      </c>
      <c r="AG19" s="1">
        <f t="shared" si="36"/>
        <v>0.29643739434169097</v>
      </c>
      <c r="AH19" s="1">
        <f t="shared" si="36"/>
        <v>1.121578799435291</v>
      </c>
      <c r="AI19" s="1">
        <f t="shared" si="36"/>
        <v>0.10804999880148959</v>
      </c>
      <c r="AJ19" s="1">
        <f t="shared" si="36"/>
        <v>-0.42001897486333123</v>
      </c>
      <c r="AK19" s="1">
        <f t="shared" si="36"/>
        <v>0.28544396542422568</v>
      </c>
      <c r="AL19" s="1">
        <f t="shared" si="36"/>
        <v>-0.54346441880892538</v>
      </c>
      <c r="AM19" s="1">
        <f t="shared" si="36"/>
        <v>-9.8691810403361099E-2</v>
      </c>
      <c r="AN19" s="1">
        <f t="shared" si="36"/>
        <v>-0.53823677428873207</v>
      </c>
      <c r="AO19" s="1">
        <f t="shared" si="36"/>
        <v>0.76575302499830988</v>
      </c>
      <c r="AP19" s="1">
        <f t="shared" si="36"/>
        <v>0.96009839774902572</v>
      </c>
      <c r="AQ19" s="1">
        <f t="shared" si="36"/>
        <v>0.50533176305485661</v>
      </c>
      <c r="AR19" s="1">
        <f t="shared" si="36"/>
        <v>-0.73121757806542687</v>
      </c>
      <c r="AS19" s="1">
        <f t="shared" si="36"/>
        <v>-0.1180071881342224</v>
      </c>
      <c r="AT19" s="1">
        <f t="shared" si="36"/>
        <v>-0.60223698109845158</v>
      </c>
      <c r="AU19" s="1">
        <f t="shared" si="36"/>
        <v>-1.2934199953620982</v>
      </c>
      <c r="AV19" s="1">
        <f t="shared" si="36"/>
        <v>-1.7756894216312546</v>
      </c>
      <c r="AW19" s="1">
        <f t="shared" si="36"/>
        <v>-1.2235194691858369</v>
      </c>
      <c r="AX19" s="1">
        <f t="shared" si="36"/>
        <v>0.54582678880503044</v>
      </c>
      <c r="AY19" s="1">
        <f t="shared" si="36"/>
        <v>-1.1899818232750379</v>
      </c>
      <c r="AZ19" s="1">
        <f t="shared" si="36"/>
        <v>-0.70035141225869724</v>
      </c>
      <c r="BA19" s="1">
        <f t="shared" si="36"/>
        <v>0.22645999104013281</v>
      </c>
      <c r="BB19" s="1">
        <f t="shared" ref="BB19:BY19" si="37">IF(AD19&gt;=1,1,0)</f>
        <v>1</v>
      </c>
      <c r="BC19" s="1">
        <f t="shared" si="37"/>
        <v>1</v>
      </c>
      <c r="BD19" s="1">
        <f t="shared" si="37"/>
        <v>0</v>
      </c>
      <c r="BE19" s="1">
        <f t="shared" si="37"/>
        <v>0</v>
      </c>
      <c r="BF19" s="1">
        <f t="shared" si="37"/>
        <v>1</v>
      </c>
      <c r="BG19" s="1">
        <f t="shared" si="37"/>
        <v>0</v>
      </c>
      <c r="BH19" s="1">
        <f t="shared" si="37"/>
        <v>0</v>
      </c>
      <c r="BI19" s="1">
        <f t="shared" si="37"/>
        <v>0</v>
      </c>
      <c r="BJ19" s="1">
        <f t="shared" si="37"/>
        <v>0</v>
      </c>
      <c r="BK19" s="1">
        <f t="shared" si="37"/>
        <v>0</v>
      </c>
      <c r="BL19" s="1">
        <f t="shared" si="37"/>
        <v>0</v>
      </c>
      <c r="BM19" s="1">
        <f t="shared" si="37"/>
        <v>0</v>
      </c>
      <c r="BN19" s="1">
        <f t="shared" si="37"/>
        <v>0</v>
      </c>
      <c r="BO19" s="1">
        <f t="shared" si="37"/>
        <v>0</v>
      </c>
      <c r="BP19" s="1">
        <f t="shared" si="37"/>
        <v>0</v>
      </c>
      <c r="BQ19" s="1">
        <f t="shared" si="37"/>
        <v>0</v>
      </c>
      <c r="BR19" s="1">
        <f t="shared" si="37"/>
        <v>0</v>
      </c>
      <c r="BS19" s="1">
        <f t="shared" si="37"/>
        <v>0</v>
      </c>
      <c r="BT19" s="1">
        <f t="shared" si="37"/>
        <v>0</v>
      </c>
      <c r="BU19" s="1">
        <f t="shared" si="37"/>
        <v>0</v>
      </c>
      <c r="BV19" s="1">
        <f t="shared" si="37"/>
        <v>0</v>
      </c>
      <c r="BW19" s="1">
        <f t="shared" si="37"/>
        <v>0</v>
      </c>
      <c r="BX19" s="1">
        <f t="shared" si="37"/>
        <v>0</v>
      </c>
      <c r="BY19" s="1">
        <f t="shared" si="37"/>
        <v>0</v>
      </c>
    </row>
    <row r="20" spans="1:77" x14ac:dyDescent="0.25">
      <c r="A20" s="4" t="s">
        <v>87</v>
      </c>
      <c r="B20" s="1" t="s">
        <v>79</v>
      </c>
      <c r="C20" s="1" t="s">
        <v>79</v>
      </c>
      <c r="D20" s="1">
        <v>564940</v>
      </c>
      <c r="E20" s="1">
        <v>539670</v>
      </c>
      <c r="F20" s="1">
        <v>468580</v>
      </c>
      <c r="G20" s="1">
        <v>527010</v>
      </c>
      <c r="H20" s="1">
        <v>453270</v>
      </c>
      <c r="I20" s="1">
        <v>472710</v>
      </c>
      <c r="J20" s="1">
        <v>431840</v>
      </c>
      <c r="K20" s="1">
        <v>591180</v>
      </c>
      <c r="L20" s="1">
        <v>548380</v>
      </c>
      <c r="M20" s="1">
        <v>595900</v>
      </c>
      <c r="N20" s="1">
        <v>467990</v>
      </c>
      <c r="O20" s="1">
        <v>534120</v>
      </c>
      <c r="P20" s="1">
        <v>533310</v>
      </c>
      <c r="Q20" s="1">
        <v>385070</v>
      </c>
      <c r="R20" s="1">
        <v>366140</v>
      </c>
      <c r="S20" s="1">
        <v>382640</v>
      </c>
      <c r="T20" s="1">
        <v>383270</v>
      </c>
      <c r="U20" s="1">
        <v>453180</v>
      </c>
      <c r="V20" s="1">
        <v>476220</v>
      </c>
      <c r="W20" s="1">
        <v>629850</v>
      </c>
      <c r="X20" s="1">
        <v>418440</v>
      </c>
      <c r="Y20" s="1">
        <v>507280</v>
      </c>
      <c r="Z20" s="1">
        <v>1018150</v>
      </c>
      <c r="AA20" s="1">
        <v>632020</v>
      </c>
      <c r="AB20" s="3">
        <f t="shared" si="0"/>
        <v>515881.66666666669</v>
      </c>
      <c r="AC20" s="1">
        <f t="shared" si="1"/>
        <v>132359.36886951455</v>
      </c>
      <c r="AD20" s="1">
        <f t="shared" ref="AD20:BA20" si="38">(D20-$AB20)/$AC20</f>
        <v>0.37064496266748664</v>
      </c>
      <c r="AE20" s="1">
        <f t="shared" si="38"/>
        <v>0.17972534575006063</v>
      </c>
      <c r="AF20" s="1">
        <f t="shared" si="38"/>
        <v>-0.357373014624289</v>
      </c>
      <c r="AG20" s="1">
        <f t="shared" si="38"/>
        <v>8.4076657575362826E-2</v>
      </c>
      <c r="AH20" s="1">
        <f t="shared" si="38"/>
        <v>-0.47304295269337454</v>
      </c>
      <c r="AI20" s="1">
        <f t="shared" si="38"/>
        <v>-0.32617008554360166</v>
      </c>
      <c r="AJ20" s="1">
        <f t="shared" si="38"/>
        <v>-0.63495064523553679</v>
      </c>
      <c r="AK20" s="1">
        <f t="shared" si="38"/>
        <v>0.56889311256512254</v>
      </c>
      <c r="AL20" s="1">
        <f t="shared" si="38"/>
        <v>0.24553103879916155</v>
      </c>
      <c r="AM20" s="1">
        <f t="shared" si="38"/>
        <v>0.60455360294305094</v>
      </c>
      <c r="AN20" s="1">
        <f t="shared" si="38"/>
        <v>-0.36183057592153006</v>
      </c>
      <c r="AO20" s="1">
        <f t="shared" si="38"/>
        <v>0.1377940488014372</v>
      </c>
      <c r="AP20" s="1">
        <f t="shared" si="38"/>
        <v>0.13167434600352998</v>
      </c>
      <c r="AQ20" s="1">
        <f t="shared" si="38"/>
        <v>-0.98830681789988239</v>
      </c>
      <c r="AR20" s="1">
        <f t="shared" si="38"/>
        <v>-1.1313265388435656</v>
      </c>
      <c r="AS20" s="1">
        <f t="shared" si="38"/>
        <v>-1.006665926293604</v>
      </c>
      <c r="AT20" s="1">
        <f t="shared" si="38"/>
        <v>-1.0019061574507873</v>
      </c>
      <c r="AU20" s="1">
        <f t="shared" si="38"/>
        <v>-0.47372291967091978</v>
      </c>
      <c r="AV20" s="1">
        <f t="shared" si="38"/>
        <v>-0.29965137341933706</v>
      </c>
      <c r="AW20" s="1">
        <f t="shared" si="38"/>
        <v>0.86105225725039614</v>
      </c>
      <c r="AX20" s="1">
        <f t="shared" si="38"/>
        <v>-0.73619017300338441</v>
      </c>
      <c r="AY20" s="1">
        <f t="shared" si="38"/>
        <v>-6.4987214279833658E-2</v>
      </c>
      <c r="AZ20" s="1">
        <f t="shared" si="38"/>
        <v>3.7947320059261584</v>
      </c>
      <c r="BA20" s="1">
        <f t="shared" si="38"/>
        <v>0.87744701659787594</v>
      </c>
      <c r="BB20" s="1">
        <f t="shared" ref="BB20:BY20" si="39">IF(AD20&gt;=1,1,0)</f>
        <v>0</v>
      </c>
      <c r="BC20" s="1">
        <f t="shared" si="39"/>
        <v>0</v>
      </c>
      <c r="BD20" s="1">
        <f t="shared" si="39"/>
        <v>0</v>
      </c>
      <c r="BE20" s="1">
        <f t="shared" si="39"/>
        <v>0</v>
      </c>
      <c r="BF20" s="1">
        <f t="shared" si="39"/>
        <v>0</v>
      </c>
      <c r="BG20" s="1">
        <f t="shared" si="39"/>
        <v>0</v>
      </c>
      <c r="BH20" s="1">
        <f t="shared" si="39"/>
        <v>0</v>
      </c>
      <c r="BI20" s="1">
        <f t="shared" si="39"/>
        <v>0</v>
      </c>
      <c r="BJ20" s="1">
        <f t="shared" si="39"/>
        <v>0</v>
      </c>
      <c r="BK20" s="1">
        <f t="shared" si="39"/>
        <v>0</v>
      </c>
      <c r="BL20" s="1">
        <f t="shared" si="39"/>
        <v>0</v>
      </c>
      <c r="BM20" s="1">
        <f t="shared" si="39"/>
        <v>0</v>
      </c>
      <c r="BN20" s="1">
        <f t="shared" si="39"/>
        <v>0</v>
      </c>
      <c r="BO20" s="1">
        <f t="shared" si="39"/>
        <v>0</v>
      </c>
      <c r="BP20" s="1">
        <f t="shared" si="39"/>
        <v>0</v>
      </c>
      <c r="BQ20" s="1">
        <f t="shared" si="39"/>
        <v>0</v>
      </c>
      <c r="BR20" s="1">
        <f t="shared" si="39"/>
        <v>0</v>
      </c>
      <c r="BS20" s="1">
        <f t="shared" si="39"/>
        <v>0</v>
      </c>
      <c r="BT20" s="1">
        <f t="shared" si="39"/>
        <v>0</v>
      </c>
      <c r="BU20" s="1">
        <f t="shared" si="39"/>
        <v>0</v>
      </c>
      <c r="BV20" s="1">
        <f t="shared" si="39"/>
        <v>0</v>
      </c>
      <c r="BW20" s="1">
        <f t="shared" si="39"/>
        <v>0</v>
      </c>
      <c r="BX20" s="1">
        <f t="shared" si="39"/>
        <v>1</v>
      </c>
      <c r="BY20" s="1">
        <f t="shared" si="39"/>
        <v>0</v>
      </c>
    </row>
    <row r="21" spans="1:77" x14ac:dyDescent="0.25">
      <c r="A21" s="4" t="s">
        <v>88</v>
      </c>
      <c r="B21" s="1" t="s">
        <v>59</v>
      </c>
      <c r="C21" s="1" t="s">
        <v>89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18170</v>
      </c>
      <c r="S21" s="1">
        <v>6630</v>
      </c>
      <c r="T21" s="1">
        <v>4640</v>
      </c>
      <c r="U21" s="1">
        <v>3100</v>
      </c>
      <c r="V21" s="1">
        <v>4850</v>
      </c>
      <c r="W21" s="1">
        <v>2130</v>
      </c>
      <c r="X21" s="1">
        <v>1730</v>
      </c>
      <c r="Y21" s="1">
        <v>145610</v>
      </c>
      <c r="Z21" s="1">
        <v>67050</v>
      </c>
      <c r="AA21" s="1">
        <v>33050</v>
      </c>
      <c r="AB21" s="3">
        <f t="shared" si="0"/>
        <v>11956.666666666666</v>
      </c>
      <c r="AC21" s="1">
        <f t="shared" si="1"/>
        <v>32164.988887685435</v>
      </c>
      <c r="AD21" s="1">
        <f t="shared" ref="AD21:BA21" si="40">(D21-$AB21)/$AC21</f>
        <v>-0.37172923355942306</v>
      </c>
      <c r="AE21" s="1">
        <f t="shared" si="40"/>
        <v>-0.37172923355942306</v>
      </c>
      <c r="AF21" s="1">
        <f t="shared" si="40"/>
        <v>-0.37172923355942306</v>
      </c>
      <c r="AG21" s="1">
        <f t="shared" si="40"/>
        <v>-0.37172923355942306</v>
      </c>
      <c r="AH21" s="1">
        <f t="shared" si="40"/>
        <v>-0.37172923355942306</v>
      </c>
      <c r="AI21" s="1">
        <f t="shared" si="40"/>
        <v>-0.37172923355942306</v>
      </c>
      <c r="AJ21" s="1">
        <f t="shared" si="40"/>
        <v>-0.37172923355942306</v>
      </c>
      <c r="AK21" s="1">
        <f t="shared" si="40"/>
        <v>-0.37172923355942306</v>
      </c>
      <c r="AL21" s="1">
        <f t="shared" si="40"/>
        <v>-0.37172923355942306</v>
      </c>
      <c r="AM21" s="1">
        <f t="shared" si="40"/>
        <v>-0.37172923355942306</v>
      </c>
      <c r="AN21" s="1">
        <f t="shared" si="40"/>
        <v>-0.37172923355942306</v>
      </c>
      <c r="AO21" s="1">
        <f t="shared" si="40"/>
        <v>-0.37172923355942306</v>
      </c>
      <c r="AP21" s="1">
        <f t="shared" si="40"/>
        <v>-0.37172923355942306</v>
      </c>
      <c r="AQ21" s="1">
        <f t="shared" si="40"/>
        <v>-0.37172923355942306</v>
      </c>
      <c r="AR21" s="1">
        <f t="shared" si="40"/>
        <v>0.19317069733893635</v>
      </c>
      <c r="AS21" s="1">
        <f t="shared" si="40"/>
        <v>-0.16560449267576191</v>
      </c>
      <c r="AT21" s="1">
        <f t="shared" si="40"/>
        <v>-0.2274730046453676</v>
      </c>
      <c r="AU21" s="1">
        <f t="shared" si="40"/>
        <v>-0.27535114958667051</v>
      </c>
      <c r="AV21" s="1">
        <f t="shared" si="40"/>
        <v>-0.2209441666988263</v>
      </c>
      <c r="AW21" s="1">
        <f t="shared" si="40"/>
        <v>-0.30550816295878985</v>
      </c>
      <c r="AX21" s="1">
        <f t="shared" si="40"/>
        <v>-0.31794404476172566</v>
      </c>
      <c r="AY21" s="1">
        <f t="shared" si="40"/>
        <v>4.1552426397542872</v>
      </c>
      <c r="AZ21" s="1">
        <f t="shared" si="40"/>
        <v>1.7128354536576931</v>
      </c>
      <c r="BA21" s="1">
        <f t="shared" si="40"/>
        <v>0.65578550040814876</v>
      </c>
      <c r="BB21" s="1">
        <f t="shared" ref="BB21:BY21" si="41">IF(AD21&gt;=1,1,0)</f>
        <v>0</v>
      </c>
      <c r="BC21" s="1">
        <f t="shared" si="41"/>
        <v>0</v>
      </c>
      <c r="BD21" s="1">
        <f t="shared" si="41"/>
        <v>0</v>
      </c>
      <c r="BE21" s="1">
        <f t="shared" si="41"/>
        <v>0</v>
      </c>
      <c r="BF21" s="1">
        <f t="shared" si="41"/>
        <v>0</v>
      </c>
      <c r="BG21" s="1">
        <f t="shared" si="41"/>
        <v>0</v>
      </c>
      <c r="BH21" s="1">
        <f t="shared" si="41"/>
        <v>0</v>
      </c>
      <c r="BI21" s="1">
        <f t="shared" si="41"/>
        <v>0</v>
      </c>
      <c r="BJ21" s="1">
        <f t="shared" si="41"/>
        <v>0</v>
      </c>
      <c r="BK21" s="1">
        <f t="shared" si="41"/>
        <v>0</v>
      </c>
      <c r="BL21" s="1">
        <f t="shared" si="41"/>
        <v>0</v>
      </c>
      <c r="BM21" s="1">
        <f t="shared" si="41"/>
        <v>0</v>
      </c>
      <c r="BN21" s="1">
        <f t="shared" si="41"/>
        <v>0</v>
      </c>
      <c r="BO21" s="1">
        <f t="shared" si="41"/>
        <v>0</v>
      </c>
      <c r="BP21" s="1">
        <f t="shared" si="41"/>
        <v>0</v>
      </c>
      <c r="BQ21" s="1">
        <f t="shared" si="41"/>
        <v>0</v>
      </c>
      <c r="BR21" s="1">
        <f t="shared" si="41"/>
        <v>0</v>
      </c>
      <c r="BS21" s="1">
        <f t="shared" si="41"/>
        <v>0</v>
      </c>
      <c r="BT21" s="1">
        <f t="shared" si="41"/>
        <v>0</v>
      </c>
      <c r="BU21" s="1">
        <f t="shared" si="41"/>
        <v>0</v>
      </c>
      <c r="BV21" s="1">
        <f t="shared" si="41"/>
        <v>0</v>
      </c>
      <c r="BW21" s="1">
        <f t="shared" si="41"/>
        <v>1</v>
      </c>
      <c r="BX21" s="1">
        <f t="shared" si="41"/>
        <v>1</v>
      </c>
      <c r="BY21" s="1">
        <f t="shared" si="41"/>
        <v>0</v>
      </c>
    </row>
    <row r="22" spans="1:77" x14ac:dyDescent="0.25">
      <c r="A22" s="4" t="s">
        <v>90</v>
      </c>
      <c r="B22" s="1" t="s">
        <v>75</v>
      </c>
      <c r="C22" s="1" t="s">
        <v>91</v>
      </c>
      <c r="D22" s="1">
        <v>5983560</v>
      </c>
      <c r="E22" s="1">
        <v>4724340</v>
      </c>
      <c r="F22" s="1">
        <v>4299070</v>
      </c>
      <c r="G22" s="1">
        <v>5509300</v>
      </c>
      <c r="H22" s="1">
        <v>4842690</v>
      </c>
      <c r="I22" s="1">
        <v>5869350</v>
      </c>
      <c r="J22" s="1">
        <v>6192150</v>
      </c>
      <c r="K22" s="1">
        <v>6193770</v>
      </c>
      <c r="L22" s="1">
        <v>5781360</v>
      </c>
      <c r="M22" s="1">
        <v>8444970</v>
      </c>
      <c r="N22" s="1">
        <v>8209070</v>
      </c>
      <c r="O22" s="1">
        <v>8927170</v>
      </c>
      <c r="P22" s="1">
        <v>6730070</v>
      </c>
      <c r="Q22" s="1">
        <v>5015280</v>
      </c>
      <c r="R22" s="1">
        <v>4376050</v>
      </c>
      <c r="S22" s="1">
        <v>5300320</v>
      </c>
      <c r="T22" s="1">
        <v>5526060</v>
      </c>
      <c r="U22" s="1">
        <v>5798090</v>
      </c>
      <c r="V22" s="1">
        <v>5050570</v>
      </c>
      <c r="W22" s="1">
        <v>5003330</v>
      </c>
      <c r="X22" s="1">
        <v>26214770</v>
      </c>
      <c r="Y22" s="1">
        <v>6937990</v>
      </c>
      <c r="Z22" s="1">
        <v>5630270</v>
      </c>
      <c r="AA22" s="1">
        <v>8427660</v>
      </c>
      <c r="AB22" s="3">
        <f t="shared" si="0"/>
        <v>6874469.166666667</v>
      </c>
      <c r="AC22" s="1">
        <f t="shared" si="1"/>
        <v>4322088.3546025036</v>
      </c>
      <c r="AD22" s="1">
        <f t="shared" ref="AD22:BA22" si="42">(D22-$AB22)/$AC22</f>
        <v>-0.20612932767048966</v>
      </c>
      <c r="AE22" s="1">
        <f t="shared" si="42"/>
        <v>-0.49747459798618843</v>
      </c>
      <c r="AF22" s="1">
        <f t="shared" si="42"/>
        <v>-0.59586916216652008</v>
      </c>
      <c r="AG22" s="1">
        <f t="shared" si="42"/>
        <v>-0.31585869021231977</v>
      </c>
      <c r="AH22" s="1">
        <f t="shared" si="42"/>
        <v>-0.47009200182200506</v>
      </c>
      <c r="AI22" s="1">
        <f t="shared" si="42"/>
        <v>-0.23255405355060271</v>
      </c>
      <c r="AJ22" s="1">
        <f t="shared" si="42"/>
        <v>-0.15786793574917996</v>
      </c>
      <c r="AK22" s="1">
        <f t="shared" si="42"/>
        <v>-0.15749311694236984</v>
      </c>
      <c r="AL22" s="1">
        <f t="shared" si="42"/>
        <v>-0.2529122676316039</v>
      </c>
      <c r="AM22" s="1">
        <f t="shared" si="42"/>
        <v>0.36336620274338882</v>
      </c>
      <c r="AN22" s="1">
        <f t="shared" si="42"/>
        <v>0.30878610612208884</v>
      </c>
      <c r="AO22" s="1">
        <f t="shared" si="42"/>
        <v>0.47493264017785614</v>
      </c>
      <c r="AP22" s="1">
        <f t="shared" si="42"/>
        <v>-3.3409582317515389E-2</v>
      </c>
      <c r="AQ22" s="1">
        <f t="shared" si="42"/>
        <v>-0.43015991671869791</v>
      </c>
      <c r="AR22" s="1">
        <f t="shared" si="42"/>
        <v>-0.57805832775402466</v>
      </c>
      <c r="AS22" s="1">
        <f t="shared" si="42"/>
        <v>-0.36421031629082445</v>
      </c>
      <c r="AT22" s="1">
        <f t="shared" si="42"/>
        <v>-0.31198093514927189</v>
      </c>
      <c r="AU22" s="1">
        <f t="shared" si="42"/>
        <v>-0.24904145365757108</v>
      </c>
      <c r="AV22" s="1">
        <f t="shared" si="42"/>
        <v>-0.42199488234071708</v>
      </c>
      <c r="AW22" s="1">
        <f t="shared" si="42"/>
        <v>-0.43292478384300709</v>
      </c>
      <c r="AX22" s="1">
        <f t="shared" si="42"/>
        <v>4.4747583220362079</v>
      </c>
      <c r="AY22" s="1">
        <f t="shared" si="42"/>
        <v>1.4696791949125933E-2</v>
      </c>
      <c r="AZ22" s="1">
        <f t="shared" si="42"/>
        <v>-0.28786990560749287</v>
      </c>
      <c r="BA22" s="1">
        <f t="shared" si="42"/>
        <v>0.35936119438173258</v>
      </c>
      <c r="BB22" s="1">
        <f t="shared" ref="BB22:BY22" si="43">IF(AD22&gt;=1,1,0)</f>
        <v>0</v>
      </c>
      <c r="BC22" s="1">
        <f t="shared" si="43"/>
        <v>0</v>
      </c>
      <c r="BD22" s="1">
        <f t="shared" si="43"/>
        <v>0</v>
      </c>
      <c r="BE22" s="1">
        <f t="shared" si="43"/>
        <v>0</v>
      </c>
      <c r="BF22" s="1">
        <f t="shared" si="43"/>
        <v>0</v>
      </c>
      <c r="BG22" s="1">
        <f t="shared" si="43"/>
        <v>0</v>
      </c>
      <c r="BH22" s="1">
        <f t="shared" si="43"/>
        <v>0</v>
      </c>
      <c r="BI22" s="1">
        <f t="shared" si="43"/>
        <v>0</v>
      </c>
      <c r="BJ22" s="1">
        <f t="shared" si="43"/>
        <v>0</v>
      </c>
      <c r="BK22" s="1">
        <f t="shared" si="43"/>
        <v>0</v>
      </c>
      <c r="BL22" s="1">
        <f t="shared" si="43"/>
        <v>0</v>
      </c>
      <c r="BM22" s="1">
        <f t="shared" si="43"/>
        <v>0</v>
      </c>
      <c r="BN22" s="1">
        <f t="shared" si="43"/>
        <v>0</v>
      </c>
      <c r="BO22" s="1">
        <f t="shared" si="43"/>
        <v>0</v>
      </c>
      <c r="BP22" s="1">
        <f t="shared" si="43"/>
        <v>0</v>
      </c>
      <c r="BQ22" s="1">
        <f t="shared" si="43"/>
        <v>0</v>
      </c>
      <c r="BR22" s="1">
        <f t="shared" si="43"/>
        <v>0</v>
      </c>
      <c r="BS22" s="1">
        <f t="shared" si="43"/>
        <v>0</v>
      </c>
      <c r="BT22" s="1">
        <f t="shared" si="43"/>
        <v>0</v>
      </c>
      <c r="BU22" s="1">
        <f t="shared" si="43"/>
        <v>0</v>
      </c>
      <c r="BV22" s="1">
        <f t="shared" si="43"/>
        <v>1</v>
      </c>
      <c r="BW22" s="1">
        <f t="shared" si="43"/>
        <v>0</v>
      </c>
      <c r="BX22" s="1">
        <f t="shared" si="43"/>
        <v>0</v>
      </c>
      <c r="BY22" s="1">
        <f t="shared" si="43"/>
        <v>0</v>
      </c>
    </row>
    <row r="23" spans="1:77" x14ac:dyDescent="0.25">
      <c r="A23" s="4" t="s">
        <v>92</v>
      </c>
      <c r="B23" s="1" t="s">
        <v>72</v>
      </c>
      <c r="C23" s="1" t="s">
        <v>93</v>
      </c>
      <c r="D23" s="1">
        <v>186521810</v>
      </c>
      <c r="E23" s="1">
        <v>157633570</v>
      </c>
      <c r="F23" s="1">
        <v>155064200</v>
      </c>
      <c r="G23" s="1">
        <v>160858950</v>
      </c>
      <c r="H23" s="1">
        <v>155700830</v>
      </c>
      <c r="I23" s="1">
        <v>166692980</v>
      </c>
      <c r="J23" s="1">
        <v>176242780</v>
      </c>
      <c r="K23" s="1">
        <v>235706260</v>
      </c>
      <c r="L23" s="1">
        <v>164009880</v>
      </c>
      <c r="M23" s="1">
        <v>164253290</v>
      </c>
      <c r="N23" s="1">
        <v>194389060</v>
      </c>
      <c r="O23" s="1">
        <v>192088750</v>
      </c>
      <c r="P23" s="1">
        <v>224181270</v>
      </c>
      <c r="Q23" s="1">
        <v>159793190</v>
      </c>
      <c r="R23" s="1">
        <v>154214020</v>
      </c>
      <c r="S23" s="1">
        <v>218233330</v>
      </c>
      <c r="T23" s="1">
        <v>216255380</v>
      </c>
      <c r="U23" s="1">
        <v>220762870</v>
      </c>
      <c r="V23" s="1">
        <v>195433600</v>
      </c>
      <c r="W23" s="1">
        <v>228933430</v>
      </c>
      <c r="X23" s="1">
        <v>199422840</v>
      </c>
      <c r="Y23" s="1">
        <v>245446810</v>
      </c>
      <c r="Z23" s="1">
        <v>262589360</v>
      </c>
      <c r="AA23" s="1">
        <v>203528340</v>
      </c>
      <c r="AB23" s="3">
        <f t="shared" si="0"/>
        <v>193248200</v>
      </c>
      <c r="AC23" s="1">
        <f t="shared" si="1"/>
        <v>32431283.709811583</v>
      </c>
      <c r="AD23" s="1">
        <f t="shared" ref="AD23:BA23" si="44">(D23-$AB23)/$AC23</f>
        <v>-0.20740437104452436</v>
      </c>
      <c r="AE23" s="1">
        <f t="shared" si="44"/>
        <v>-1.098156653886178</v>
      </c>
      <c r="AF23" s="1">
        <f t="shared" si="44"/>
        <v>-1.1773817016206491</v>
      </c>
      <c r="AG23" s="1">
        <f t="shared" si="44"/>
        <v>-0.998703914708166</v>
      </c>
      <c r="AH23" s="1">
        <f t="shared" si="44"/>
        <v>-1.1577515813424499</v>
      </c>
      <c r="AI23" s="1">
        <f t="shared" si="44"/>
        <v>-0.81881495156376216</v>
      </c>
      <c r="AJ23" s="1">
        <f t="shared" si="44"/>
        <v>-0.52435235534186619</v>
      </c>
      <c r="AK23" s="1">
        <f t="shared" si="44"/>
        <v>1.3091698860860994</v>
      </c>
      <c r="AL23" s="1">
        <f t="shared" si="44"/>
        <v>-0.90154679850537023</v>
      </c>
      <c r="AM23" s="1">
        <f t="shared" si="44"/>
        <v>-0.89404139100506952</v>
      </c>
      <c r="AN23" s="1">
        <f t="shared" si="44"/>
        <v>3.5177762625993446E-2</v>
      </c>
      <c r="AO23" s="1">
        <f t="shared" si="44"/>
        <v>-3.5750974595224742E-2</v>
      </c>
      <c r="AP23" s="1">
        <f t="shared" si="44"/>
        <v>0.9538034410473144</v>
      </c>
      <c r="AQ23" s="1">
        <f t="shared" si="44"/>
        <v>-1.0315660119823966</v>
      </c>
      <c r="AR23" s="1">
        <f t="shared" si="44"/>
        <v>-1.2035965134550259</v>
      </c>
      <c r="AS23" s="1">
        <f t="shared" si="44"/>
        <v>0.77040212849919154</v>
      </c>
      <c r="AT23" s="1">
        <f t="shared" si="44"/>
        <v>0.70941317666804327</v>
      </c>
      <c r="AU23" s="1">
        <f t="shared" si="44"/>
        <v>0.84839904106774111</v>
      </c>
      <c r="AV23" s="1">
        <f t="shared" si="44"/>
        <v>6.7385553392042913E-2</v>
      </c>
      <c r="AW23" s="1">
        <f t="shared" si="44"/>
        <v>1.1003335643233878</v>
      </c>
      <c r="AX23" s="1">
        <f t="shared" si="44"/>
        <v>0.19039147679905</v>
      </c>
      <c r="AY23" s="1">
        <f t="shared" si="44"/>
        <v>1.609514148963771</v>
      </c>
      <c r="AZ23" s="1">
        <f t="shared" si="44"/>
        <v>2.1380948290684501</v>
      </c>
      <c r="BA23" s="1">
        <f t="shared" si="44"/>
        <v>0.31698221050959824</v>
      </c>
      <c r="BB23" s="1">
        <f t="shared" ref="BB23:BY23" si="45">IF(AD23&gt;=1,1,0)</f>
        <v>0</v>
      </c>
      <c r="BC23" s="1">
        <f t="shared" si="45"/>
        <v>0</v>
      </c>
      <c r="BD23" s="1">
        <f t="shared" si="45"/>
        <v>0</v>
      </c>
      <c r="BE23" s="1">
        <f t="shared" si="45"/>
        <v>0</v>
      </c>
      <c r="BF23" s="1">
        <f t="shared" si="45"/>
        <v>0</v>
      </c>
      <c r="BG23" s="1">
        <f t="shared" si="45"/>
        <v>0</v>
      </c>
      <c r="BH23" s="1">
        <f t="shared" si="45"/>
        <v>0</v>
      </c>
      <c r="BI23" s="1">
        <f t="shared" si="45"/>
        <v>1</v>
      </c>
      <c r="BJ23" s="1">
        <f t="shared" si="45"/>
        <v>0</v>
      </c>
      <c r="BK23" s="1">
        <f t="shared" si="45"/>
        <v>0</v>
      </c>
      <c r="BL23" s="1">
        <f t="shared" si="45"/>
        <v>0</v>
      </c>
      <c r="BM23" s="1">
        <f t="shared" si="45"/>
        <v>0</v>
      </c>
      <c r="BN23" s="1">
        <f t="shared" si="45"/>
        <v>0</v>
      </c>
      <c r="BO23" s="1">
        <f t="shared" si="45"/>
        <v>0</v>
      </c>
      <c r="BP23" s="1">
        <f t="shared" si="45"/>
        <v>0</v>
      </c>
      <c r="BQ23" s="1">
        <f t="shared" si="45"/>
        <v>0</v>
      </c>
      <c r="BR23" s="1">
        <f t="shared" si="45"/>
        <v>0</v>
      </c>
      <c r="BS23" s="1">
        <f t="shared" si="45"/>
        <v>0</v>
      </c>
      <c r="BT23" s="1">
        <f t="shared" si="45"/>
        <v>0</v>
      </c>
      <c r="BU23" s="1">
        <f t="shared" si="45"/>
        <v>1</v>
      </c>
      <c r="BV23" s="1">
        <f t="shared" si="45"/>
        <v>0</v>
      </c>
      <c r="BW23" s="1">
        <f t="shared" si="45"/>
        <v>1</v>
      </c>
      <c r="BX23" s="1">
        <f t="shared" si="45"/>
        <v>1</v>
      </c>
      <c r="BY23" s="1">
        <f t="shared" si="45"/>
        <v>0</v>
      </c>
    </row>
    <row r="24" spans="1:77" x14ac:dyDescent="0.25">
      <c r="A24" s="1" t="s">
        <v>94</v>
      </c>
      <c r="B24" s="1" t="s">
        <v>79</v>
      </c>
      <c r="C24" s="1" t="s">
        <v>79</v>
      </c>
      <c r="D24" s="1">
        <v>417550</v>
      </c>
      <c r="E24" s="1">
        <v>342400</v>
      </c>
      <c r="F24" s="1">
        <v>290560</v>
      </c>
      <c r="G24" s="1">
        <v>300520</v>
      </c>
      <c r="H24" s="1">
        <v>308950</v>
      </c>
      <c r="I24" s="1">
        <v>295980</v>
      </c>
      <c r="J24" s="1">
        <v>316450</v>
      </c>
      <c r="K24" s="1">
        <v>345450</v>
      </c>
      <c r="L24" s="1">
        <v>315510</v>
      </c>
      <c r="M24" s="1">
        <v>338970</v>
      </c>
      <c r="N24" s="1">
        <v>326210</v>
      </c>
      <c r="O24" s="1">
        <v>455170</v>
      </c>
      <c r="P24" s="1">
        <v>408470</v>
      </c>
      <c r="Q24" s="1">
        <v>270610</v>
      </c>
      <c r="R24" s="1">
        <v>224470</v>
      </c>
      <c r="S24" s="1">
        <v>269530</v>
      </c>
      <c r="T24" s="1">
        <v>255740</v>
      </c>
      <c r="U24" s="1">
        <v>251140</v>
      </c>
      <c r="V24" s="1">
        <v>213530</v>
      </c>
      <c r="W24" s="1">
        <v>260360</v>
      </c>
      <c r="X24" s="1">
        <v>268620</v>
      </c>
      <c r="Y24" s="1">
        <v>220930</v>
      </c>
      <c r="Z24" s="1">
        <v>246440</v>
      </c>
      <c r="AA24" s="1">
        <v>318190</v>
      </c>
      <c r="AB24" s="3">
        <f t="shared" si="0"/>
        <v>302572.91666666669</v>
      </c>
      <c r="AC24" s="1">
        <f t="shared" si="1"/>
        <v>61713.370510926048</v>
      </c>
      <c r="AD24" s="1">
        <f t="shared" ref="AD24:BA24" si="46">(D24-$AB24)/$AC24</f>
        <v>1.8630822199700985</v>
      </c>
      <c r="AE24" s="1">
        <f t="shared" si="46"/>
        <v>0.6453558281390922</v>
      </c>
      <c r="AF24" s="1">
        <f t="shared" si="46"/>
        <v>-0.19465662898026059</v>
      </c>
      <c r="AG24" s="1">
        <f t="shared" si="46"/>
        <v>-3.3265346709644178E-2</v>
      </c>
      <c r="AH24" s="1">
        <f t="shared" si="46"/>
        <v>0.10333390123626909</v>
      </c>
      <c r="AI24" s="1">
        <f t="shared" si="46"/>
        <v>-0.10683125248359984</v>
      </c>
      <c r="AJ24" s="1">
        <f t="shared" si="46"/>
        <v>0.22486348125932362</v>
      </c>
      <c r="AK24" s="1">
        <f t="shared" si="46"/>
        <v>0.69477785734846775</v>
      </c>
      <c r="AL24" s="1">
        <f t="shared" si="46"/>
        <v>0.20963177389643411</v>
      </c>
      <c r="AM24" s="1">
        <f t="shared" si="46"/>
        <v>0.58977630020854865</v>
      </c>
      <c r="AN24" s="1">
        <f t="shared" si="46"/>
        <v>0.38301397472932525</v>
      </c>
      <c r="AO24" s="1">
        <f t="shared" si="46"/>
        <v>2.4726745933657401</v>
      </c>
      <c r="AP24" s="1">
        <f t="shared" si="46"/>
        <v>1.7159504084221873</v>
      </c>
      <c r="AQ24" s="1">
        <f t="shared" si="46"/>
        <v>-0.51792531184158563</v>
      </c>
      <c r="AR24" s="1">
        <f t="shared" si="46"/>
        <v>-1.265575288143417</v>
      </c>
      <c r="AS24" s="1">
        <f t="shared" si="46"/>
        <v>-0.53542557136490543</v>
      </c>
      <c r="AT24" s="1">
        <f t="shared" si="46"/>
        <v>-0.75887795916729506</v>
      </c>
      <c r="AU24" s="1">
        <f t="shared" si="46"/>
        <v>-0.83341610158143509</v>
      </c>
      <c r="AV24" s="1">
        <f t="shared" si="46"/>
        <v>-1.4428464355370458</v>
      </c>
      <c r="AW24" s="1">
        <f t="shared" si="46"/>
        <v>-0.68401573787309344</v>
      </c>
      <c r="AX24" s="1">
        <f t="shared" si="46"/>
        <v>-0.55017116040770275</v>
      </c>
      <c r="AY24" s="1">
        <f t="shared" si="46"/>
        <v>-1.3229372499142986</v>
      </c>
      <c r="AZ24" s="1">
        <f t="shared" si="46"/>
        <v>-0.9095746383958826</v>
      </c>
      <c r="BA24" s="1">
        <f t="shared" si="46"/>
        <v>0.25305834382467224</v>
      </c>
      <c r="BB24" s="1">
        <f t="shared" ref="BB24:BY24" si="47">IF(AD24&gt;=1,1,0)</f>
        <v>1</v>
      </c>
      <c r="BC24" s="1">
        <f t="shared" si="47"/>
        <v>0</v>
      </c>
      <c r="BD24" s="1">
        <f t="shared" si="47"/>
        <v>0</v>
      </c>
      <c r="BE24" s="1">
        <f t="shared" si="47"/>
        <v>0</v>
      </c>
      <c r="BF24" s="1">
        <f t="shared" si="47"/>
        <v>0</v>
      </c>
      <c r="BG24" s="1">
        <f t="shared" si="47"/>
        <v>0</v>
      </c>
      <c r="BH24" s="1">
        <f t="shared" si="47"/>
        <v>0</v>
      </c>
      <c r="BI24" s="1">
        <f t="shared" si="47"/>
        <v>0</v>
      </c>
      <c r="BJ24" s="1">
        <f t="shared" si="47"/>
        <v>0</v>
      </c>
      <c r="BK24" s="1">
        <f t="shared" si="47"/>
        <v>0</v>
      </c>
      <c r="BL24" s="1">
        <f t="shared" si="47"/>
        <v>0</v>
      </c>
      <c r="BM24" s="1">
        <f t="shared" si="47"/>
        <v>1</v>
      </c>
      <c r="BN24" s="1">
        <f t="shared" si="47"/>
        <v>1</v>
      </c>
      <c r="BO24" s="1">
        <f t="shared" si="47"/>
        <v>0</v>
      </c>
      <c r="BP24" s="1">
        <f t="shared" si="47"/>
        <v>0</v>
      </c>
      <c r="BQ24" s="1">
        <f t="shared" si="47"/>
        <v>0</v>
      </c>
      <c r="BR24" s="1">
        <f t="shared" si="47"/>
        <v>0</v>
      </c>
      <c r="BS24" s="1">
        <f t="shared" si="47"/>
        <v>0</v>
      </c>
      <c r="BT24" s="1">
        <f t="shared" si="47"/>
        <v>0</v>
      </c>
      <c r="BU24" s="1">
        <f t="shared" si="47"/>
        <v>0</v>
      </c>
      <c r="BV24" s="1">
        <f t="shared" si="47"/>
        <v>0</v>
      </c>
      <c r="BW24" s="1">
        <f t="shared" si="47"/>
        <v>0</v>
      </c>
      <c r="BX24" s="1">
        <f t="shared" si="47"/>
        <v>0</v>
      </c>
      <c r="BY24" s="1">
        <f t="shared" si="47"/>
        <v>0</v>
      </c>
    </row>
    <row r="25" spans="1:77" x14ac:dyDescent="0.25">
      <c r="A25" s="1" t="s">
        <v>95</v>
      </c>
      <c r="B25" s="1" t="s">
        <v>54</v>
      </c>
      <c r="C25" s="1" t="s">
        <v>96</v>
      </c>
      <c r="D25" s="1">
        <v>5219050</v>
      </c>
      <c r="E25" s="1">
        <v>4953440</v>
      </c>
      <c r="F25" s="1">
        <v>4160540</v>
      </c>
      <c r="G25" s="1">
        <v>5262700</v>
      </c>
      <c r="H25" s="1">
        <v>4988820</v>
      </c>
      <c r="I25" s="1">
        <v>4355570</v>
      </c>
      <c r="J25" s="1">
        <v>4568220</v>
      </c>
      <c r="K25" s="1">
        <v>4900880</v>
      </c>
      <c r="L25" s="1">
        <v>5142210</v>
      </c>
      <c r="M25" s="1">
        <v>4477720</v>
      </c>
      <c r="N25" s="1">
        <v>4166540</v>
      </c>
      <c r="O25" s="1">
        <v>4349940</v>
      </c>
      <c r="P25" s="1">
        <v>4151180</v>
      </c>
      <c r="Q25" s="1">
        <v>3630190</v>
      </c>
      <c r="R25" s="1">
        <v>3112960</v>
      </c>
      <c r="S25" s="1">
        <v>3598310</v>
      </c>
      <c r="T25" s="1">
        <v>3411830</v>
      </c>
      <c r="U25" s="1">
        <v>3314510</v>
      </c>
      <c r="V25" s="1">
        <v>3464470</v>
      </c>
      <c r="W25" s="1">
        <v>3481730</v>
      </c>
      <c r="X25" s="1">
        <v>4262590</v>
      </c>
      <c r="Y25" s="1">
        <v>3552250</v>
      </c>
      <c r="Z25" s="1">
        <v>3278840</v>
      </c>
      <c r="AA25" s="1">
        <v>3297050</v>
      </c>
      <c r="AB25" s="3">
        <f t="shared" si="0"/>
        <v>4129230.8333333335</v>
      </c>
      <c r="AC25" s="1">
        <f t="shared" si="1"/>
        <v>700896.88705082389</v>
      </c>
      <c r="AD25" s="1">
        <f t="shared" ref="AD25:BA25" si="48">(D25-$AB25)/$AC25</f>
        <v>1.554892291293114</v>
      </c>
      <c r="AE25" s="1">
        <f t="shared" si="48"/>
        <v>1.175934979729623</v>
      </c>
      <c r="AF25" s="1">
        <f t="shared" si="48"/>
        <v>4.4670146558085939E-2</v>
      </c>
      <c r="AG25" s="1">
        <f t="shared" si="48"/>
        <v>1.6171696402248048</v>
      </c>
      <c r="AH25" s="1">
        <f t="shared" si="48"/>
        <v>1.226413160833935</v>
      </c>
      <c r="AI25" s="1">
        <f t="shared" si="48"/>
        <v>0.32292790972298047</v>
      </c>
      <c r="AJ25" s="1">
        <f t="shared" si="48"/>
        <v>0.62632489140279812</v>
      </c>
      <c r="AK25" s="1">
        <f t="shared" si="48"/>
        <v>1.1009453472015667</v>
      </c>
      <c r="AL25" s="1">
        <f t="shared" si="48"/>
        <v>1.4452613292791137</v>
      </c>
      <c r="AM25" s="1">
        <f t="shared" si="48"/>
        <v>0.49720461469448163</v>
      </c>
      <c r="AN25" s="1">
        <f t="shared" si="48"/>
        <v>5.3230606892338966E-2</v>
      </c>
      <c r="AO25" s="1">
        <f t="shared" si="48"/>
        <v>0.31489534444267309</v>
      </c>
      <c r="AP25" s="1">
        <f t="shared" si="48"/>
        <v>3.1315828436651226E-2</v>
      </c>
      <c r="AQ25" s="1">
        <f t="shared" si="48"/>
        <v>-0.71200320982042931</v>
      </c>
      <c r="AR25" s="1">
        <f t="shared" si="48"/>
        <v>-1.4499576929347113</v>
      </c>
      <c r="AS25" s="1">
        <f t="shared" si="48"/>
        <v>-0.75748778906309366</v>
      </c>
      <c r="AT25" s="1">
        <f t="shared" si="48"/>
        <v>-1.0235468962516776</v>
      </c>
      <c r="AU25" s="1">
        <f t="shared" si="48"/>
        <v>-1.1623975628732617</v>
      </c>
      <c r="AV25" s="1">
        <f t="shared" si="48"/>
        <v>-0.94844312425249777</v>
      </c>
      <c r="AW25" s="1">
        <f t="shared" si="48"/>
        <v>-0.92381753335762995</v>
      </c>
      <c r="AX25" s="1">
        <f t="shared" si="48"/>
        <v>0.19026930940983947</v>
      </c>
      <c r="AY25" s="1">
        <f t="shared" si="48"/>
        <v>-0.82320358956237605</v>
      </c>
      <c r="AZ25" s="1">
        <f t="shared" si="48"/>
        <v>-1.213289499560396</v>
      </c>
      <c r="BA25" s="1">
        <f t="shared" si="48"/>
        <v>-1.187308502445938</v>
      </c>
      <c r="BB25" s="1">
        <f t="shared" ref="BB25:BY25" si="49">IF(AD25&gt;=1,1,0)</f>
        <v>1</v>
      </c>
      <c r="BC25" s="1">
        <f t="shared" si="49"/>
        <v>1</v>
      </c>
      <c r="BD25" s="1">
        <f t="shared" si="49"/>
        <v>0</v>
      </c>
      <c r="BE25" s="1">
        <f t="shared" si="49"/>
        <v>1</v>
      </c>
      <c r="BF25" s="1">
        <f t="shared" si="49"/>
        <v>1</v>
      </c>
      <c r="BG25" s="1">
        <f t="shared" si="49"/>
        <v>0</v>
      </c>
      <c r="BH25" s="1">
        <f t="shared" si="49"/>
        <v>0</v>
      </c>
      <c r="BI25" s="1">
        <f t="shared" si="49"/>
        <v>1</v>
      </c>
      <c r="BJ25" s="1">
        <f t="shared" si="49"/>
        <v>1</v>
      </c>
      <c r="BK25" s="1">
        <f t="shared" si="49"/>
        <v>0</v>
      </c>
      <c r="BL25" s="1">
        <f t="shared" si="49"/>
        <v>0</v>
      </c>
      <c r="BM25" s="1">
        <f t="shared" si="49"/>
        <v>0</v>
      </c>
      <c r="BN25" s="1">
        <f t="shared" si="49"/>
        <v>0</v>
      </c>
      <c r="BO25" s="1">
        <f t="shared" si="49"/>
        <v>0</v>
      </c>
      <c r="BP25" s="1">
        <f t="shared" si="49"/>
        <v>0</v>
      </c>
      <c r="BQ25" s="1">
        <f t="shared" si="49"/>
        <v>0</v>
      </c>
      <c r="BR25" s="1">
        <f t="shared" si="49"/>
        <v>0</v>
      </c>
      <c r="BS25" s="1">
        <f t="shared" si="49"/>
        <v>0</v>
      </c>
      <c r="BT25" s="1">
        <f t="shared" si="49"/>
        <v>0</v>
      </c>
      <c r="BU25" s="1">
        <f t="shared" si="49"/>
        <v>0</v>
      </c>
      <c r="BV25" s="1">
        <f t="shared" si="49"/>
        <v>0</v>
      </c>
      <c r="BW25" s="1">
        <f t="shared" si="49"/>
        <v>0</v>
      </c>
      <c r="BX25" s="1">
        <f t="shared" si="49"/>
        <v>0</v>
      </c>
      <c r="BY25" s="1">
        <f t="shared" si="49"/>
        <v>0</v>
      </c>
    </row>
    <row r="26" spans="1:77" x14ac:dyDescent="0.25">
      <c r="A26" s="1" t="s">
        <v>97</v>
      </c>
      <c r="B26" s="1" t="s">
        <v>79</v>
      </c>
      <c r="C26" s="1" t="s">
        <v>79</v>
      </c>
      <c r="D26" s="1">
        <v>210080</v>
      </c>
      <c r="E26" s="1">
        <v>237760</v>
      </c>
      <c r="F26" s="1">
        <v>213370</v>
      </c>
      <c r="G26" s="1">
        <v>206740</v>
      </c>
      <c r="H26" s="1">
        <v>213370</v>
      </c>
      <c r="I26" s="1">
        <v>220850</v>
      </c>
      <c r="J26" s="1">
        <v>216430</v>
      </c>
      <c r="K26" s="1">
        <v>218620</v>
      </c>
      <c r="L26" s="1">
        <v>219210</v>
      </c>
      <c r="M26" s="1">
        <v>194530</v>
      </c>
      <c r="N26" s="1">
        <v>200840</v>
      </c>
      <c r="O26" s="1">
        <v>195160</v>
      </c>
      <c r="P26" s="1">
        <v>178300</v>
      </c>
      <c r="Q26" s="1">
        <v>185250</v>
      </c>
      <c r="R26" s="1">
        <v>177390</v>
      </c>
      <c r="S26" s="1">
        <v>196320</v>
      </c>
      <c r="T26" s="1">
        <v>226490</v>
      </c>
      <c r="U26" s="1">
        <v>231410</v>
      </c>
      <c r="V26" s="1">
        <v>229690</v>
      </c>
      <c r="W26" s="1">
        <v>237960</v>
      </c>
      <c r="X26" s="1">
        <v>307060</v>
      </c>
      <c r="Y26" s="1">
        <v>214720</v>
      </c>
      <c r="Z26" s="1">
        <v>212380</v>
      </c>
      <c r="AA26" s="1">
        <v>237750</v>
      </c>
      <c r="AB26" s="3">
        <f t="shared" si="0"/>
        <v>215903.33333333334</v>
      </c>
      <c r="AC26" s="1">
        <f t="shared" si="1"/>
        <v>26222.833506344155</v>
      </c>
      <c r="AD26" s="1">
        <f t="shared" ref="AD26:BA26" si="50">(D26-$AB26)/$AC26</f>
        <v>-0.22207109433557168</v>
      </c>
      <c r="AE26" s="1">
        <f t="shared" si="50"/>
        <v>0.83349751892291957</v>
      </c>
      <c r="AF26" s="1">
        <f t="shared" si="50"/>
        <v>-9.6607917398417203E-2</v>
      </c>
      <c r="AG26" s="1">
        <f t="shared" si="50"/>
        <v>-0.34944100648453702</v>
      </c>
      <c r="AH26" s="1">
        <f t="shared" si="50"/>
        <v>-9.6607917398417203E-2</v>
      </c>
      <c r="AI26" s="1">
        <f t="shared" si="50"/>
        <v>0.18863967028848722</v>
      </c>
      <c r="AJ26" s="1">
        <f t="shared" si="50"/>
        <v>2.0084277564407338E-2</v>
      </c>
      <c r="AK26" s="1">
        <f t="shared" si="50"/>
        <v>0.10359927984172294</v>
      </c>
      <c r="AL26" s="1">
        <f t="shared" si="50"/>
        <v>0.12609875534109108</v>
      </c>
      <c r="AM26" s="1">
        <f t="shared" si="50"/>
        <v>-0.81506574520874864</v>
      </c>
      <c r="AN26" s="1">
        <f t="shared" si="50"/>
        <v>-0.57443576147821829</v>
      </c>
      <c r="AO26" s="1">
        <f t="shared" si="50"/>
        <v>-0.79104088153993191</v>
      </c>
      <c r="AP26" s="1">
        <f t="shared" si="50"/>
        <v>-1.4339919949625533</v>
      </c>
      <c r="AQ26" s="1">
        <f t="shared" si="50"/>
        <v>-1.168955800520844</v>
      </c>
      <c r="AR26" s="1">
        <f t="shared" si="50"/>
        <v>-1.4686945758175109</v>
      </c>
      <c r="AS26" s="1">
        <f t="shared" si="50"/>
        <v>-0.7468046246259199</v>
      </c>
      <c r="AT26" s="1">
        <f t="shared" si="50"/>
        <v>0.40371940218075208</v>
      </c>
      <c r="AU26" s="1">
        <f t="shared" si="50"/>
        <v>0.59134214702294052</v>
      </c>
      <c r="AV26" s="1">
        <f t="shared" si="50"/>
        <v>0.52575045573664703</v>
      </c>
      <c r="AW26" s="1">
        <f t="shared" si="50"/>
        <v>0.84112445977016304</v>
      </c>
      <c r="AX26" s="1">
        <f t="shared" si="50"/>
        <v>3.4762325224927695</v>
      </c>
      <c r="AY26" s="1">
        <f t="shared" si="50"/>
        <v>-4.512606667952402E-2</v>
      </c>
      <c r="AZ26" s="1">
        <f t="shared" si="50"/>
        <v>-0.13436127459227221</v>
      </c>
      <c r="BA26" s="1">
        <f t="shared" si="50"/>
        <v>0.83311617188055742</v>
      </c>
      <c r="BB26" s="1">
        <f t="shared" ref="BB26:BY26" si="51">IF(AD26&gt;=1,1,0)</f>
        <v>0</v>
      </c>
      <c r="BC26" s="1">
        <f t="shared" si="51"/>
        <v>0</v>
      </c>
      <c r="BD26" s="1">
        <f t="shared" si="51"/>
        <v>0</v>
      </c>
      <c r="BE26" s="1">
        <f t="shared" si="51"/>
        <v>0</v>
      </c>
      <c r="BF26" s="1">
        <f t="shared" si="51"/>
        <v>0</v>
      </c>
      <c r="BG26" s="1">
        <f t="shared" si="51"/>
        <v>0</v>
      </c>
      <c r="BH26" s="1">
        <f t="shared" si="51"/>
        <v>0</v>
      </c>
      <c r="BI26" s="1">
        <f t="shared" si="51"/>
        <v>0</v>
      </c>
      <c r="BJ26" s="1">
        <f t="shared" si="51"/>
        <v>0</v>
      </c>
      <c r="BK26" s="1">
        <f t="shared" si="51"/>
        <v>0</v>
      </c>
      <c r="BL26" s="1">
        <f t="shared" si="51"/>
        <v>0</v>
      </c>
      <c r="BM26" s="1">
        <f t="shared" si="51"/>
        <v>0</v>
      </c>
      <c r="BN26" s="1">
        <f t="shared" si="51"/>
        <v>0</v>
      </c>
      <c r="BO26" s="1">
        <f t="shared" si="51"/>
        <v>0</v>
      </c>
      <c r="BP26" s="1">
        <f t="shared" si="51"/>
        <v>0</v>
      </c>
      <c r="BQ26" s="1">
        <f t="shared" si="51"/>
        <v>0</v>
      </c>
      <c r="BR26" s="1">
        <f t="shared" si="51"/>
        <v>0</v>
      </c>
      <c r="BS26" s="1">
        <f t="shared" si="51"/>
        <v>0</v>
      </c>
      <c r="BT26" s="1">
        <f t="shared" si="51"/>
        <v>0</v>
      </c>
      <c r="BU26" s="1">
        <f t="shared" si="51"/>
        <v>0</v>
      </c>
      <c r="BV26" s="1">
        <f t="shared" si="51"/>
        <v>1</v>
      </c>
      <c r="BW26" s="1">
        <f t="shared" si="51"/>
        <v>0</v>
      </c>
      <c r="BX26" s="1">
        <f t="shared" si="51"/>
        <v>0</v>
      </c>
      <c r="BY26" s="1">
        <f t="shared" si="51"/>
        <v>0</v>
      </c>
    </row>
    <row r="27" spans="1:77" x14ac:dyDescent="0.25">
      <c r="A27" s="4" t="s">
        <v>98</v>
      </c>
      <c r="B27" s="1" t="s">
        <v>79</v>
      </c>
      <c r="C27" s="1" t="s">
        <v>79</v>
      </c>
      <c r="D27" s="1">
        <v>2689150</v>
      </c>
      <c r="E27" s="1">
        <v>2664320</v>
      </c>
      <c r="F27" s="1">
        <v>2235140</v>
      </c>
      <c r="G27" s="1">
        <v>2165490</v>
      </c>
      <c r="H27" s="1">
        <v>1998000</v>
      </c>
      <c r="I27" s="1">
        <v>1882280</v>
      </c>
      <c r="J27" s="1">
        <v>1591590</v>
      </c>
      <c r="K27" s="1">
        <v>1659730</v>
      </c>
      <c r="L27" s="1">
        <v>1932930</v>
      </c>
      <c r="M27" s="1">
        <v>1634150</v>
      </c>
      <c r="N27" s="1">
        <v>1920170</v>
      </c>
      <c r="O27" s="1">
        <v>2462640</v>
      </c>
      <c r="P27" s="1">
        <v>2184170</v>
      </c>
      <c r="Q27" s="1">
        <v>1807390</v>
      </c>
      <c r="R27" s="1">
        <v>1779670</v>
      </c>
      <c r="S27" s="1">
        <v>1582490</v>
      </c>
      <c r="T27" s="1">
        <v>1742730</v>
      </c>
      <c r="U27" s="1">
        <v>2118510</v>
      </c>
      <c r="V27" s="1">
        <v>1918770</v>
      </c>
      <c r="W27" s="1">
        <v>1479670</v>
      </c>
      <c r="X27" s="1">
        <v>1739510</v>
      </c>
      <c r="Y27" s="1">
        <v>1237660</v>
      </c>
      <c r="Z27" s="1">
        <v>1454880</v>
      </c>
      <c r="AA27" s="1">
        <v>1760120</v>
      </c>
      <c r="AB27" s="3">
        <f t="shared" si="0"/>
        <v>1901715</v>
      </c>
      <c r="AC27" s="1">
        <f t="shared" si="1"/>
        <v>365789.93198163674</v>
      </c>
      <c r="AD27" s="1">
        <f t="shared" ref="AD27:BA27" si="52">(D27-$AB27)/$AC27</f>
        <v>2.1526973028867578</v>
      </c>
      <c r="AE27" s="1">
        <f t="shared" si="52"/>
        <v>2.0848168123946178</v>
      </c>
      <c r="AF27" s="1">
        <f t="shared" si="52"/>
        <v>0.91152044069036453</v>
      </c>
      <c r="AG27" s="1">
        <f t="shared" si="52"/>
        <v>0.72111060731229182</v>
      </c>
      <c r="AH27" s="1">
        <f t="shared" si="52"/>
        <v>0.26322485006184826</v>
      </c>
      <c r="AI27" s="1">
        <f t="shared" si="52"/>
        <v>-5.3131588107722082E-2</v>
      </c>
      <c r="AJ27" s="1">
        <f t="shared" si="52"/>
        <v>-0.847822678770636</v>
      </c>
      <c r="AK27" s="1">
        <f t="shared" si="52"/>
        <v>-0.66154089777448566</v>
      </c>
      <c r="AL27" s="1">
        <f t="shared" si="52"/>
        <v>8.5335864305765105E-2</v>
      </c>
      <c r="AM27" s="1">
        <f t="shared" si="52"/>
        <v>-0.7314717454099644</v>
      </c>
      <c r="AN27" s="1">
        <f t="shared" si="52"/>
        <v>5.0452454773759252E-2</v>
      </c>
      <c r="AO27" s="1">
        <f t="shared" si="52"/>
        <v>1.5334621075031649</v>
      </c>
      <c r="AP27" s="1">
        <f t="shared" si="52"/>
        <v>0.7721781692290528</v>
      </c>
      <c r="AQ27" s="1">
        <f t="shared" si="52"/>
        <v>-0.2578665833939226</v>
      </c>
      <c r="AR27" s="1">
        <f t="shared" si="52"/>
        <v>-0.3336477834117284</v>
      </c>
      <c r="AS27" s="1">
        <f t="shared" si="52"/>
        <v>-0.87270034544314801</v>
      </c>
      <c r="AT27" s="1">
        <f t="shared" si="52"/>
        <v>-0.43463470724498049</v>
      </c>
      <c r="AU27" s="1">
        <f t="shared" si="52"/>
        <v>0.59267623585354301</v>
      </c>
      <c r="AV27" s="1">
        <f t="shared" si="52"/>
        <v>4.6625121439526636E-2</v>
      </c>
      <c r="AW27" s="1">
        <f t="shared" si="52"/>
        <v>-1.1537906407472893</v>
      </c>
      <c r="AX27" s="1">
        <f t="shared" si="52"/>
        <v>-0.44343757391371547</v>
      </c>
      <c r="AY27" s="1">
        <f t="shared" si="52"/>
        <v>-1.8153998837598861</v>
      </c>
      <c r="AZ27" s="1">
        <f t="shared" si="52"/>
        <v>-1.2215617788584512</v>
      </c>
      <c r="BA27" s="1">
        <f t="shared" si="52"/>
        <v>-0.38709375961476244</v>
      </c>
      <c r="BB27" s="1">
        <f t="shared" ref="BB27:BY27" si="53">IF(AD27&gt;=1,1,0)</f>
        <v>1</v>
      </c>
      <c r="BC27" s="1">
        <f t="shared" si="53"/>
        <v>1</v>
      </c>
      <c r="BD27" s="1">
        <f t="shared" si="53"/>
        <v>0</v>
      </c>
      <c r="BE27" s="1">
        <f t="shared" si="53"/>
        <v>0</v>
      </c>
      <c r="BF27" s="1">
        <f t="shared" si="53"/>
        <v>0</v>
      </c>
      <c r="BG27" s="1">
        <f t="shared" si="53"/>
        <v>0</v>
      </c>
      <c r="BH27" s="1">
        <f t="shared" si="53"/>
        <v>0</v>
      </c>
      <c r="BI27" s="1">
        <f t="shared" si="53"/>
        <v>0</v>
      </c>
      <c r="BJ27" s="1">
        <f t="shared" si="53"/>
        <v>0</v>
      </c>
      <c r="BK27" s="1">
        <f t="shared" si="53"/>
        <v>0</v>
      </c>
      <c r="BL27" s="1">
        <f t="shared" si="53"/>
        <v>0</v>
      </c>
      <c r="BM27" s="1">
        <f t="shared" si="53"/>
        <v>1</v>
      </c>
      <c r="BN27" s="1">
        <f t="shared" si="53"/>
        <v>0</v>
      </c>
      <c r="BO27" s="1">
        <f t="shared" si="53"/>
        <v>0</v>
      </c>
      <c r="BP27" s="1">
        <f t="shared" si="53"/>
        <v>0</v>
      </c>
      <c r="BQ27" s="1">
        <f t="shared" si="53"/>
        <v>0</v>
      </c>
      <c r="BR27" s="1">
        <f t="shared" si="53"/>
        <v>0</v>
      </c>
      <c r="BS27" s="1">
        <f t="shared" si="53"/>
        <v>0</v>
      </c>
      <c r="BT27" s="1">
        <f t="shared" si="53"/>
        <v>0</v>
      </c>
      <c r="BU27" s="1">
        <f t="shared" si="53"/>
        <v>0</v>
      </c>
      <c r="BV27" s="1">
        <f t="shared" si="53"/>
        <v>0</v>
      </c>
      <c r="BW27" s="1">
        <f t="shared" si="53"/>
        <v>0</v>
      </c>
      <c r="BX27" s="1">
        <f t="shared" si="53"/>
        <v>0</v>
      </c>
      <c r="BY27" s="1">
        <f t="shared" si="53"/>
        <v>0</v>
      </c>
    </row>
    <row r="28" spans="1:77" x14ac:dyDescent="0.25">
      <c r="A28" s="4" t="s">
        <v>99</v>
      </c>
      <c r="B28" s="1" t="s">
        <v>54</v>
      </c>
      <c r="C28" s="1" t="s">
        <v>100</v>
      </c>
      <c r="D28" s="1">
        <v>23636060</v>
      </c>
      <c r="E28" s="1">
        <v>35669610</v>
      </c>
      <c r="F28" s="1">
        <v>18858290</v>
      </c>
      <c r="G28" s="1">
        <v>17659050</v>
      </c>
      <c r="H28" s="1">
        <v>14763640</v>
      </c>
      <c r="I28" s="1">
        <v>14802690</v>
      </c>
      <c r="J28" s="1">
        <v>17206180</v>
      </c>
      <c r="K28" s="1">
        <v>17224850</v>
      </c>
      <c r="L28" s="1">
        <v>17386170</v>
      </c>
      <c r="M28" s="1">
        <v>17534340</v>
      </c>
      <c r="N28" s="1">
        <v>17415740</v>
      </c>
      <c r="O28" s="1">
        <v>22094430</v>
      </c>
      <c r="P28" s="1">
        <v>23677680</v>
      </c>
      <c r="Q28" s="1">
        <v>17762880</v>
      </c>
      <c r="R28" s="1">
        <v>14311790</v>
      </c>
      <c r="S28" s="1">
        <v>15827790</v>
      </c>
      <c r="T28" s="1">
        <v>14203760</v>
      </c>
      <c r="U28" s="1">
        <v>15942300</v>
      </c>
      <c r="V28" s="1">
        <v>15743550</v>
      </c>
      <c r="W28" s="1">
        <v>14547340</v>
      </c>
      <c r="X28" s="1">
        <v>15912990</v>
      </c>
      <c r="Y28" s="1">
        <v>14890410</v>
      </c>
      <c r="Z28" s="1">
        <v>14073250</v>
      </c>
      <c r="AA28" s="1">
        <v>17236470</v>
      </c>
      <c r="AB28" s="3">
        <f t="shared" si="0"/>
        <v>17849219.166666668</v>
      </c>
      <c r="AC28" s="1">
        <f t="shared" si="1"/>
        <v>4663521.2249104874</v>
      </c>
      <c r="AD28" s="1">
        <f t="shared" ref="AD28:BA28" si="54">(D28-$AB28)/$AC28</f>
        <v>1.2408736991315841</v>
      </c>
      <c r="AE28" s="1">
        <f t="shared" si="54"/>
        <v>3.821230776895495</v>
      </c>
      <c r="AF28" s="1">
        <f t="shared" si="54"/>
        <v>0.21637530626928805</v>
      </c>
      <c r="AG28" s="1">
        <f t="shared" si="54"/>
        <v>-4.077802104788706E-2</v>
      </c>
      <c r="AH28" s="1">
        <f t="shared" si="54"/>
        <v>-0.66164149745579703</v>
      </c>
      <c r="AI28" s="1">
        <f t="shared" si="54"/>
        <v>-0.6532679963786685</v>
      </c>
      <c r="AJ28" s="1">
        <f t="shared" si="54"/>
        <v>-0.13788704621560086</v>
      </c>
      <c r="AK28" s="1">
        <f t="shared" si="54"/>
        <v>-0.13388363353672786</v>
      </c>
      <c r="AL28" s="1">
        <f t="shared" si="54"/>
        <v>-9.929174637251828E-2</v>
      </c>
      <c r="AM28" s="1">
        <f t="shared" si="54"/>
        <v>-6.7519616933385304E-2</v>
      </c>
      <c r="AN28" s="1">
        <f t="shared" si="54"/>
        <v>-9.2951044020387882E-2</v>
      </c>
      <c r="AO28" s="1">
        <f t="shared" si="54"/>
        <v>0.91030160014224348</v>
      </c>
      <c r="AP28" s="1">
        <f t="shared" si="54"/>
        <v>1.2497982859390127</v>
      </c>
      <c r="AQ28" s="1">
        <f t="shared" si="54"/>
        <v>-1.8513728683270895E-2</v>
      </c>
      <c r="AR28" s="1">
        <f t="shared" si="54"/>
        <v>-0.75853180377335283</v>
      </c>
      <c r="AS28" s="1">
        <f t="shared" si="54"/>
        <v>-0.43345555196984603</v>
      </c>
      <c r="AT28" s="1">
        <f t="shared" si="54"/>
        <v>-0.78169670316803153</v>
      </c>
      <c r="AU28" s="1">
        <f t="shared" si="54"/>
        <v>-0.40890114458592813</v>
      </c>
      <c r="AV28" s="1">
        <f t="shared" si="54"/>
        <v>-0.4515191558299565</v>
      </c>
      <c r="AW28" s="1">
        <f t="shared" si="54"/>
        <v>-0.70802275950401505</v>
      </c>
      <c r="AX28" s="1">
        <f t="shared" si="54"/>
        <v>-0.41518609507429277</v>
      </c>
      <c r="AY28" s="1">
        <f t="shared" si="54"/>
        <v>-0.63445817526507775</v>
      </c>
      <c r="AZ28" s="1">
        <f t="shared" si="54"/>
        <v>-0.80968199447599698</v>
      </c>
      <c r="BA28" s="1">
        <f t="shared" si="54"/>
        <v>-0.13139195408688831</v>
      </c>
      <c r="BB28" s="1">
        <f t="shared" ref="BB28:BY28" si="55">IF(AD28&gt;=1,1,0)</f>
        <v>1</v>
      </c>
      <c r="BC28" s="1">
        <f t="shared" si="55"/>
        <v>1</v>
      </c>
      <c r="BD28" s="1">
        <f t="shared" si="55"/>
        <v>0</v>
      </c>
      <c r="BE28" s="1">
        <f t="shared" si="55"/>
        <v>0</v>
      </c>
      <c r="BF28" s="1">
        <f t="shared" si="55"/>
        <v>0</v>
      </c>
      <c r="BG28" s="1">
        <f t="shared" si="55"/>
        <v>0</v>
      </c>
      <c r="BH28" s="1">
        <f t="shared" si="55"/>
        <v>0</v>
      </c>
      <c r="BI28" s="1">
        <f t="shared" si="55"/>
        <v>0</v>
      </c>
      <c r="BJ28" s="1">
        <f t="shared" si="55"/>
        <v>0</v>
      </c>
      <c r="BK28" s="1">
        <f t="shared" si="55"/>
        <v>0</v>
      </c>
      <c r="BL28" s="1">
        <f t="shared" si="55"/>
        <v>0</v>
      </c>
      <c r="BM28" s="1">
        <f t="shared" si="55"/>
        <v>0</v>
      </c>
      <c r="BN28" s="1">
        <f t="shared" si="55"/>
        <v>1</v>
      </c>
      <c r="BO28" s="1">
        <f t="shared" si="55"/>
        <v>0</v>
      </c>
      <c r="BP28" s="1">
        <f t="shared" si="55"/>
        <v>0</v>
      </c>
      <c r="BQ28" s="1">
        <f t="shared" si="55"/>
        <v>0</v>
      </c>
      <c r="BR28" s="1">
        <f t="shared" si="55"/>
        <v>0</v>
      </c>
      <c r="BS28" s="1">
        <f t="shared" si="55"/>
        <v>0</v>
      </c>
      <c r="BT28" s="1">
        <f t="shared" si="55"/>
        <v>0</v>
      </c>
      <c r="BU28" s="1">
        <f t="shared" si="55"/>
        <v>0</v>
      </c>
      <c r="BV28" s="1">
        <f t="shared" si="55"/>
        <v>0</v>
      </c>
      <c r="BW28" s="1">
        <f t="shared" si="55"/>
        <v>0</v>
      </c>
      <c r="BX28" s="1">
        <f t="shared" si="55"/>
        <v>0</v>
      </c>
      <c r="BY28" s="1">
        <f t="shared" si="55"/>
        <v>0</v>
      </c>
    </row>
    <row r="29" spans="1:77" x14ac:dyDescent="0.25">
      <c r="A29" s="1" t="s">
        <v>101</v>
      </c>
      <c r="B29" s="1" t="s">
        <v>54</v>
      </c>
      <c r="C29" s="1" t="s">
        <v>102</v>
      </c>
      <c r="D29" s="1">
        <v>8976050</v>
      </c>
      <c r="E29" s="1">
        <v>7951520</v>
      </c>
      <c r="F29" s="1">
        <v>7600660</v>
      </c>
      <c r="G29" s="1">
        <v>7113220</v>
      </c>
      <c r="H29" s="1">
        <v>7182590</v>
      </c>
      <c r="I29" s="1">
        <v>8332610</v>
      </c>
      <c r="J29" s="1">
        <v>8591920</v>
      </c>
      <c r="K29" s="1">
        <v>9207840</v>
      </c>
      <c r="L29" s="1">
        <v>9195370</v>
      </c>
      <c r="M29" s="1">
        <v>9262490</v>
      </c>
      <c r="N29" s="1">
        <v>8350810</v>
      </c>
      <c r="O29" s="1">
        <v>7672950</v>
      </c>
      <c r="P29" s="1">
        <v>9268160</v>
      </c>
      <c r="Q29" s="1">
        <v>7533560</v>
      </c>
      <c r="R29" s="1">
        <v>7180670</v>
      </c>
      <c r="S29" s="1">
        <v>7736240</v>
      </c>
      <c r="T29" s="1">
        <v>7202630</v>
      </c>
      <c r="U29" s="1">
        <v>7540040</v>
      </c>
      <c r="V29" s="1">
        <v>7438610</v>
      </c>
      <c r="W29" s="1">
        <v>7951640</v>
      </c>
      <c r="X29" s="1">
        <v>7763800</v>
      </c>
      <c r="Y29" s="1">
        <v>6582490</v>
      </c>
      <c r="Z29" s="1">
        <v>6878430</v>
      </c>
      <c r="AA29" s="1">
        <v>7358680</v>
      </c>
      <c r="AB29" s="3">
        <f t="shared" si="0"/>
        <v>7911374.166666667</v>
      </c>
      <c r="AC29" s="1">
        <f t="shared" si="1"/>
        <v>808086.40029832278</v>
      </c>
      <c r="AD29" s="1">
        <f t="shared" ref="AD29:BA29" si="56">(D29-$AB29)/$AC29</f>
        <v>1.3175272259751984</v>
      </c>
      <c r="AE29" s="1">
        <f t="shared" si="56"/>
        <v>4.9680124945194359E-2</v>
      </c>
      <c r="AF29" s="1">
        <f t="shared" si="56"/>
        <v>-0.38450612032569792</v>
      </c>
      <c r="AG29" s="1">
        <f t="shared" si="56"/>
        <v>-0.98770894593945757</v>
      </c>
      <c r="AH29" s="1">
        <f t="shared" si="56"/>
        <v>-0.90186416501703326</v>
      </c>
      <c r="AI29" s="1">
        <f t="shared" si="56"/>
        <v>0.52127573632946256</v>
      </c>
      <c r="AJ29" s="1">
        <f t="shared" si="56"/>
        <v>0.84216964062517896</v>
      </c>
      <c r="AK29" s="1">
        <f t="shared" si="56"/>
        <v>1.6043653659493766</v>
      </c>
      <c r="AL29" s="1">
        <f t="shared" si="56"/>
        <v>1.5889338477411794</v>
      </c>
      <c r="AM29" s="1">
        <f t="shared" si="56"/>
        <v>1.6719942729323733</v>
      </c>
      <c r="AN29" s="1">
        <f t="shared" si="56"/>
        <v>0.54379808046652645</v>
      </c>
      <c r="AO29" s="1">
        <f t="shared" si="56"/>
        <v>-0.29504786440985453</v>
      </c>
      <c r="AP29" s="1">
        <f t="shared" si="56"/>
        <v>1.6790108493750739</v>
      </c>
      <c r="AQ29" s="1">
        <f t="shared" si="56"/>
        <v>-0.46754179568816973</v>
      </c>
      <c r="AR29" s="1">
        <f t="shared" si="56"/>
        <v>-0.90424014857434987</v>
      </c>
      <c r="AS29" s="1">
        <f t="shared" si="56"/>
        <v>-0.21672703141893288</v>
      </c>
      <c r="AT29" s="1">
        <f t="shared" si="56"/>
        <v>-0.87706483663754098</v>
      </c>
      <c r="AU29" s="1">
        <f t="shared" si="56"/>
        <v>-0.45952285118222613</v>
      </c>
      <c r="AV29" s="1">
        <f t="shared" si="56"/>
        <v>-0.5850416075460938</v>
      </c>
      <c r="AW29" s="1">
        <f t="shared" si="56"/>
        <v>4.9828623917526654E-2</v>
      </c>
      <c r="AX29" s="1">
        <f t="shared" si="56"/>
        <v>-0.1826217674399504</v>
      </c>
      <c r="AY29" s="1">
        <f t="shared" si="56"/>
        <v>-1.6444827758220906</v>
      </c>
      <c r="AZ29" s="1">
        <f t="shared" si="56"/>
        <v>-1.2782595602219429</v>
      </c>
      <c r="BA29" s="1">
        <f t="shared" si="56"/>
        <v>-0.68395429803375951</v>
      </c>
      <c r="BB29" s="1">
        <f t="shared" ref="BB29:BY29" si="57">IF(AD29&gt;=1,1,0)</f>
        <v>1</v>
      </c>
      <c r="BC29" s="1">
        <f t="shared" si="57"/>
        <v>0</v>
      </c>
      <c r="BD29" s="1">
        <f t="shared" si="57"/>
        <v>0</v>
      </c>
      <c r="BE29" s="1">
        <f t="shared" si="57"/>
        <v>0</v>
      </c>
      <c r="BF29" s="1">
        <f t="shared" si="57"/>
        <v>0</v>
      </c>
      <c r="BG29" s="1">
        <f t="shared" si="57"/>
        <v>0</v>
      </c>
      <c r="BH29" s="1">
        <f t="shared" si="57"/>
        <v>0</v>
      </c>
      <c r="BI29" s="1">
        <f t="shared" si="57"/>
        <v>1</v>
      </c>
      <c r="BJ29" s="1">
        <f t="shared" si="57"/>
        <v>1</v>
      </c>
      <c r="BK29" s="1">
        <f t="shared" si="57"/>
        <v>1</v>
      </c>
      <c r="BL29" s="1">
        <f t="shared" si="57"/>
        <v>0</v>
      </c>
      <c r="BM29" s="1">
        <f t="shared" si="57"/>
        <v>0</v>
      </c>
      <c r="BN29" s="1">
        <f t="shared" si="57"/>
        <v>1</v>
      </c>
      <c r="BO29" s="1">
        <f t="shared" si="57"/>
        <v>0</v>
      </c>
      <c r="BP29" s="1">
        <f t="shared" si="57"/>
        <v>0</v>
      </c>
      <c r="BQ29" s="1">
        <f t="shared" si="57"/>
        <v>0</v>
      </c>
      <c r="BR29" s="1">
        <f t="shared" si="57"/>
        <v>0</v>
      </c>
      <c r="BS29" s="1">
        <f t="shared" si="57"/>
        <v>0</v>
      </c>
      <c r="BT29" s="1">
        <f t="shared" si="57"/>
        <v>0</v>
      </c>
      <c r="BU29" s="1">
        <f t="shared" si="57"/>
        <v>0</v>
      </c>
      <c r="BV29" s="1">
        <f t="shared" si="57"/>
        <v>0</v>
      </c>
      <c r="BW29" s="1">
        <f t="shared" si="57"/>
        <v>0</v>
      </c>
      <c r="BX29" s="1">
        <f t="shared" si="57"/>
        <v>0</v>
      </c>
      <c r="BY29" s="1">
        <f t="shared" si="57"/>
        <v>0</v>
      </c>
    </row>
    <row r="30" spans="1:77" x14ac:dyDescent="0.25">
      <c r="A30" s="1" t="s">
        <v>103</v>
      </c>
      <c r="B30" s="1" t="s">
        <v>72</v>
      </c>
      <c r="C30" s="1" t="s">
        <v>72</v>
      </c>
      <c r="D30" s="1">
        <v>720</v>
      </c>
      <c r="E30" s="1">
        <v>1150</v>
      </c>
      <c r="F30" s="1">
        <v>1080</v>
      </c>
      <c r="G30" s="1">
        <v>1210</v>
      </c>
      <c r="H30" s="1">
        <v>1200</v>
      </c>
      <c r="I30" s="1">
        <v>1060</v>
      </c>
      <c r="J30" s="1">
        <v>890</v>
      </c>
      <c r="K30" s="1">
        <v>860</v>
      </c>
      <c r="L30" s="1">
        <v>2670</v>
      </c>
      <c r="M30" s="1">
        <v>1380</v>
      </c>
      <c r="N30" s="1">
        <v>1020</v>
      </c>
      <c r="O30" s="1">
        <v>1000</v>
      </c>
      <c r="P30" s="1">
        <v>760</v>
      </c>
      <c r="Q30" s="1">
        <v>980</v>
      </c>
      <c r="R30" s="1">
        <v>1010</v>
      </c>
      <c r="S30" s="1">
        <v>1140</v>
      </c>
      <c r="T30" s="1">
        <v>35100</v>
      </c>
      <c r="U30" s="1">
        <v>39370</v>
      </c>
      <c r="V30" s="1">
        <v>3040</v>
      </c>
      <c r="W30" s="1">
        <v>1900</v>
      </c>
      <c r="X30" s="1">
        <v>1620</v>
      </c>
      <c r="Y30" s="1">
        <v>1450</v>
      </c>
      <c r="Z30" s="1">
        <v>1740</v>
      </c>
      <c r="AA30" s="1">
        <v>1240</v>
      </c>
      <c r="AB30" s="3">
        <f t="shared" si="0"/>
        <v>4316.25</v>
      </c>
      <c r="AC30" s="1">
        <f t="shared" si="1"/>
        <v>10173.5555806303</v>
      </c>
      <c r="AD30" s="1">
        <f t="shared" ref="AD30:BA30" si="58">(D30-$AB30)/$AC30</f>
        <v>-0.35348998405699922</v>
      </c>
      <c r="AE30" s="1">
        <f t="shared" si="58"/>
        <v>-0.31122354175056621</v>
      </c>
      <c r="AF30" s="1">
        <f t="shared" si="58"/>
        <v>-0.31810412538184601</v>
      </c>
      <c r="AG30" s="1">
        <f t="shared" si="58"/>
        <v>-0.30532589863804066</v>
      </c>
      <c r="AH30" s="1">
        <f t="shared" si="58"/>
        <v>-0.30630883915679491</v>
      </c>
      <c r="AI30" s="1">
        <f t="shared" si="58"/>
        <v>-0.32007000641935451</v>
      </c>
      <c r="AJ30" s="1">
        <f t="shared" si="58"/>
        <v>-0.33677999523817687</v>
      </c>
      <c r="AK30" s="1">
        <f t="shared" si="58"/>
        <v>-0.33972881679443961</v>
      </c>
      <c r="AL30" s="1">
        <f t="shared" si="58"/>
        <v>-0.16181658289991935</v>
      </c>
      <c r="AM30" s="1">
        <f t="shared" si="58"/>
        <v>-0.28861590981921831</v>
      </c>
      <c r="AN30" s="1">
        <f t="shared" si="58"/>
        <v>-0.32400176849437151</v>
      </c>
      <c r="AO30" s="1">
        <f t="shared" si="58"/>
        <v>-0.32596764953188007</v>
      </c>
      <c r="AP30" s="1">
        <f t="shared" si="58"/>
        <v>-0.34955822198198216</v>
      </c>
      <c r="AQ30" s="1">
        <f t="shared" si="58"/>
        <v>-0.32793353056938856</v>
      </c>
      <c r="AR30" s="1">
        <f t="shared" si="58"/>
        <v>-0.32498470901312576</v>
      </c>
      <c r="AS30" s="1">
        <f t="shared" si="58"/>
        <v>-0.31220648226932046</v>
      </c>
      <c r="AT30" s="1">
        <f t="shared" si="58"/>
        <v>3.0258595194201319</v>
      </c>
      <c r="AU30" s="1">
        <f t="shared" si="58"/>
        <v>3.4455751209281988</v>
      </c>
      <c r="AV30" s="1">
        <f t="shared" si="58"/>
        <v>-0.12544778370601189</v>
      </c>
      <c r="AW30" s="1">
        <f t="shared" si="58"/>
        <v>-0.23750300284399703</v>
      </c>
      <c r="AX30" s="1">
        <f t="shared" si="58"/>
        <v>-0.26502533736911621</v>
      </c>
      <c r="AY30" s="1">
        <f t="shared" si="58"/>
        <v>-0.28173532618793856</v>
      </c>
      <c r="AZ30" s="1">
        <f t="shared" si="58"/>
        <v>-0.2532300511440651</v>
      </c>
      <c r="BA30" s="1">
        <f t="shared" si="58"/>
        <v>-0.30237707708177791</v>
      </c>
      <c r="BB30" s="1">
        <f t="shared" ref="BB30:BY30" si="59">IF(AD30&gt;=1,1,0)</f>
        <v>0</v>
      </c>
      <c r="BC30" s="1">
        <f t="shared" si="59"/>
        <v>0</v>
      </c>
      <c r="BD30" s="1">
        <f t="shared" si="59"/>
        <v>0</v>
      </c>
      <c r="BE30" s="1">
        <f t="shared" si="59"/>
        <v>0</v>
      </c>
      <c r="BF30" s="1">
        <f t="shared" si="59"/>
        <v>0</v>
      </c>
      <c r="BG30" s="1">
        <f t="shared" si="59"/>
        <v>0</v>
      </c>
      <c r="BH30" s="1">
        <f t="shared" si="59"/>
        <v>0</v>
      </c>
      <c r="BI30" s="1">
        <f t="shared" si="59"/>
        <v>0</v>
      </c>
      <c r="BJ30" s="1">
        <f t="shared" si="59"/>
        <v>0</v>
      </c>
      <c r="BK30" s="1">
        <f t="shared" si="59"/>
        <v>0</v>
      </c>
      <c r="BL30" s="1">
        <f t="shared" si="59"/>
        <v>0</v>
      </c>
      <c r="BM30" s="1">
        <f t="shared" si="59"/>
        <v>0</v>
      </c>
      <c r="BN30" s="1">
        <f t="shared" si="59"/>
        <v>0</v>
      </c>
      <c r="BO30" s="1">
        <f t="shared" si="59"/>
        <v>0</v>
      </c>
      <c r="BP30" s="1">
        <f t="shared" si="59"/>
        <v>0</v>
      </c>
      <c r="BQ30" s="1">
        <f t="shared" si="59"/>
        <v>0</v>
      </c>
      <c r="BR30" s="1">
        <f t="shared" si="59"/>
        <v>1</v>
      </c>
      <c r="BS30" s="1">
        <f t="shared" si="59"/>
        <v>1</v>
      </c>
      <c r="BT30" s="1">
        <f t="shared" si="59"/>
        <v>0</v>
      </c>
      <c r="BU30" s="1">
        <f t="shared" si="59"/>
        <v>0</v>
      </c>
      <c r="BV30" s="1">
        <f t="shared" si="59"/>
        <v>0</v>
      </c>
      <c r="BW30" s="1">
        <f t="shared" si="59"/>
        <v>0</v>
      </c>
      <c r="BX30" s="1">
        <f t="shared" si="59"/>
        <v>0</v>
      </c>
      <c r="BY30" s="1">
        <f t="shared" si="59"/>
        <v>0</v>
      </c>
    </row>
    <row r="31" spans="1:77" x14ac:dyDescent="0.25">
      <c r="A31" s="1" t="s">
        <v>104</v>
      </c>
      <c r="B31" s="1" t="s">
        <v>75</v>
      </c>
      <c r="C31" s="1" t="s">
        <v>105</v>
      </c>
      <c r="D31" s="1">
        <v>1458940</v>
      </c>
      <c r="E31" s="1">
        <v>1730620</v>
      </c>
      <c r="F31" s="1">
        <v>1685380</v>
      </c>
      <c r="G31" s="1">
        <v>1018770</v>
      </c>
      <c r="H31" s="1">
        <v>1170820</v>
      </c>
      <c r="I31" s="1">
        <v>881590</v>
      </c>
      <c r="J31" s="1">
        <v>829720</v>
      </c>
      <c r="K31" s="1">
        <v>912560</v>
      </c>
      <c r="L31" s="1">
        <v>850230</v>
      </c>
      <c r="M31" s="1">
        <v>859680</v>
      </c>
      <c r="N31" s="1">
        <v>920430</v>
      </c>
      <c r="O31" s="1">
        <v>908610</v>
      </c>
      <c r="P31" s="1">
        <v>941230</v>
      </c>
      <c r="Q31" s="1">
        <v>1082870</v>
      </c>
      <c r="R31" s="1">
        <v>924950</v>
      </c>
      <c r="S31" s="1">
        <v>930740</v>
      </c>
      <c r="T31" s="1">
        <v>804530</v>
      </c>
      <c r="U31" s="1">
        <v>828840</v>
      </c>
      <c r="V31" s="1">
        <v>812660</v>
      </c>
      <c r="W31" s="1">
        <v>865410</v>
      </c>
      <c r="X31" s="1">
        <v>894870</v>
      </c>
      <c r="Y31" s="1">
        <v>888280</v>
      </c>
      <c r="Z31" s="1">
        <v>892190</v>
      </c>
      <c r="AA31" s="1">
        <v>901370</v>
      </c>
      <c r="AB31" s="3">
        <f t="shared" si="0"/>
        <v>999803.75</v>
      </c>
      <c r="AC31" s="1">
        <f t="shared" si="1"/>
        <v>258551.54260026812</v>
      </c>
      <c r="AD31" s="1">
        <f t="shared" ref="AD31:BA31" si="60">(D31-$AB31)/$AC31</f>
        <v>1.775801626950045</v>
      </c>
      <c r="AE31" s="1">
        <f t="shared" si="60"/>
        <v>2.8265785717236023</v>
      </c>
      <c r="AF31" s="1">
        <f t="shared" si="60"/>
        <v>2.6516037889587478</v>
      </c>
      <c r="AG31" s="1">
        <f t="shared" si="60"/>
        <v>7.3355779699688914E-2</v>
      </c>
      <c r="AH31" s="1">
        <f t="shared" si="60"/>
        <v>0.6614396815431054</v>
      </c>
      <c r="AI31" s="1">
        <f t="shared" si="60"/>
        <v>-0.45721541171681801</v>
      </c>
      <c r="AJ31" s="1">
        <f t="shared" si="60"/>
        <v>-0.65783305057652219</v>
      </c>
      <c r="AK31" s="1">
        <f t="shared" si="60"/>
        <v>-0.33743271891780052</v>
      </c>
      <c r="AL31" s="1">
        <f t="shared" si="60"/>
        <v>-0.57850650781553248</v>
      </c>
      <c r="AM31" s="1">
        <f t="shared" si="60"/>
        <v>-0.5419567355536431</v>
      </c>
      <c r="AN31" s="1">
        <f t="shared" si="60"/>
        <v>-0.3069939138700683</v>
      </c>
      <c r="AO31" s="1">
        <f t="shared" si="60"/>
        <v>-0.35271013695319348</v>
      </c>
      <c r="AP31" s="1">
        <f t="shared" si="60"/>
        <v>-0.22654573788622701</v>
      </c>
      <c r="AQ31" s="1">
        <f t="shared" si="60"/>
        <v>0.32127539895758433</v>
      </c>
      <c r="AR31" s="1">
        <f t="shared" si="60"/>
        <v>-0.28951190639665664</v>
      </c>
      <c r="AS31" s="1">
        <f t="shared" si="60"/>
        <v>-0.26711791894730852</v>
      </c>
      <c r="AT31" s="1">
        <f t="shared" si="60"/>
        <v>-0.75526043293387601</v>
      </c>
      <c r="AU31" s="1">
        <f t="shared" si="60"/>
        <v>-0.66123662725276156</v>
      </c>
      <c r="AV31" s="1">
        <f t="shared" si="60"/>
        <v>-0.72381602568634584</v>
      </c>
      <c r="AW31" s="1">
        <f t="shared" si="60"/>
        <v>-0.51979481015040219</v>
      </c>
      <c r="AX31" s="1">
        <f t="shared" si="60"/>
        <v>-0.40585234551175015</v>
      </c>
      <c r="AY31" s="1">
        <f t="shared" si="60"/>
        <v>-0.43134049357586135</v>
      </c>
      <c r="AZ31" s="1">
        <f t="shared" si="60"/>
        <v>-0.41621778357120659</v>
      </c>
      <c r="BA31" s="1">
        <f t="shared" si="60"/>
        <v>-0.38071229051679972</v>
      </c>
      <c r="BB31" s="1">
        <f t="shared" ref="BB31:BY31" si="61">IF(AD31&gt;=1,1,0)</f>
        <v>1</v>
      </c>
      <c r="BC31" s="1">
        <f t="shared" si="61"/>
        <v>1</v>
      </c>
      <c r="BD31" s="1">
        <f t="shared" si="61"/>
        <v>1</v>
      </c>
      <c r="BE31" s="1">
        <f t="shared" si="61"/>
        <v>0</v>
      </c>
      <c r="BF31" s="1">
        <f t="shared" si="61"/>
        <v>0</v>
      </c>
      <c r="BG31" s="1">
        <f t="shared" si="61"/>
        <v>0</v>
      </c>
      <c r="BH31" s="1">
        <f t="shared" si="61"/>
        <v>0</v>
      </c>
      <c r="BI31" s="1">
        <f t="shared" si="61"/>
        <v>0</v>
      </c>
      <c r="BJ31" s="1">
        <f t="shared" si="61"/>
        <v>0</v>
      </c>
      <c r="BK31" s="1">
        <f t="shared" si="61"/>
        <v>0</v>
      </c>
      <c r="BL31" s="1">
        <f t="shared" si="61"/>
        <v>0</v>
      </c>
      <c r="BM31" s="1">
        <f t="shared" si="61"/>
        <v>0</v>
      </c>
      <c r="BN31" s="1">
        <f t="shared" si="61"/>
        <v>0</v>
      </c>
      <c r="BO31" s="1">
        <f t="shared" si="61"/>
        <v>0</v>
      </c>
      <c r="BP31" s="1">
        <f t="shared" si="61"/>
        <v>0</v>
      </c>
      <c r="BQ31" s="1">
        <f t="shared" si="61"/>
        <v>0</v>
      </c>
      <c r="BR31" s="1">
        <f t="shared" si="61"/>
        <v>0</v>
      </c>
      <c r="BS31" s="1">
        <f t="shared" si="61"/>
        <v>0</v>
      </c>
      <c r="BT31" s="1">
        <f t="shared" si="61"/>
        <v>0</v>
      </c>
      <c r="BU31" s="1">
        <f t="shared" si="61"/>
        <v>0</v>
      </c>
      <c r="BV31" s="1">
        <f t="shared" si="61"/>
        <v>0</v>
      </c>
      <c r="BW31" s="1">
        <f t="shared" si="61"/>
        <v>0</v>
      </c>
      <c r="BX31" s="1">
        <f t="shared" si="61"/>
        <v>0</v>
      </c>
      <c r="BY31" s="1">
        <f t="shared" si="61"/>
        <v>0</v>
      </c>
    </row>
    <row r="32" spans="1:77" x14ac:dyDescent="0.25">
      <c r="A32" s="1" t="s">
        <v>106</v>
      </c>
      <c r="B32" s="1" t="s">
        <v>69</v>
      </c>
      <c r="C32" s="1" t="s">
        <v>70</v>
      </c>
      <c r="D32" s="1">
        <v>8778350</v>
      </c>
      <c r="E32" s="1">
        <v>10354370</v>
      </c>
      <c r="F32" s="1">
        <v>8891490</v>
      </c>
      <c r="G32" s="1">
        <v>8793930</v>
      </c>
      <c r="H32" s="1">
        <v>8524160</v>
      </c>
      <c r="I32" s="1">
        <v>8861150</v>
      </c>
      <c r="J32" s="1">
        <v>8898630</v>
      </c>
      <c r="K32" s="1">
        <v>10585070</v>
      </c>
      <c r="L32" s="1">
        <v>9397380</v>
      </c>
      <c r="M32" s="1">
        <v>8670530</v>
      </c>
      <c r="N32" s="1">
        <v>8613800</v>
      </c>
      <c r="O32" s="1">
        <v>8392870</v>
      </c>
      <c r="P32" s="1">
        <v>8510030</v>
      </c>
      <c r="Q32" s="1">
        <v>10745520</v>
      </c>
      <c r="R32" s="1">
        <v>8872590</v>
      </c>
      <c r="S32" s="1">
        <v>9739130</v>
      </c>
      <c r="T32" s="1">
        <v>8686340</v>
      </c>
      <c r="U32" s="1">
        <v>9390460</v>
      </c>
      <c r="V32" s="1">
        <v>12906740</v>
      </c>
      <c r="W32" s="1">
        <v>9501370</v>
      </c>
      <c r="X32" s="1">
        <v>9148480</v>
      </c>
      <c r="Y32" s="1">
        <v>8966190</v>
      </c>
      <c r="Z32" s="1">
        <v>8329750</v>
      </c>
      <c r="AA32" s="1">
        <v>8198650</v>
      </c>
      <c r="AB32" s="3">
        <f t="shared" si="0"/>
        <v>9239874.166666666</v>
      </c>
      <c r="AC32" s="1">
        <f t="shared" si="1"/>
        <v>1039193.9622273152</v>
      </c>
      <c r="AD32" s="1">
        <f t="shared" ref="AD32:BA32" si="62">(D32-$AB32)/$AC32</f>
        <v>-0.44411744432913808</v>
      </c>
      <c r="AE32" s="1">
        <f t="shared" si="62"/>
        <v>1.0724618058255684</v>
      </c>
      <c r="AF32" s="1">
        <f t="shared" si="62"/>
        <v>-0.3352446023839194</v>
      </c>
      <c r="AG32" s="1">
        <f t="shared" si="62"/>
        <v>-0.42912505545246749</v>
      </c>
      <c r="AH32" s="1">
        <f t="shared" si="62"/>
        <v>-0.68872048210583181</v>
      </c>
      <c r="AI32" s="1">
        <f t="shared" si="62"/>
        <v>-0.3644403070384884</v>
      </c>
      <c r="AJ32" s="1">
        <f t="shared" si="62"/>
        <v>-0.32837389271900108</v>
      </c>
      <c r="AK32" s="1">
        <f t="shared" si="62"/>
        <v>1.2944607861752409</v>
      </c>
      <c r="AL32" s="1">
        <f t="shared" si="62"/>
        <v>0.15156538534514777</v>
      </c>
      <c r="AM32" s="1">
        <f t="shared" si="62"/>
        <v>-0.54787093397500575</v>
      </c>
      <c r="AN32" s="1">
        <f t="shared" si="62"/>
        <v>-0.60246132043030232</v>
      </c>
      <c r="AO32" s="1">
        <f t="shared" si="62"/>
        <v>-0.8150587834933849</v>
      </c>
      <c r="AP32" s="1">
        <f t="shared" si="62"/>
        <v>-0.70231755879564917</v>
      </c>
      <c r="AQ32" s="1">
        <f t="shared" si="62"/>
        <v>1.4488592967825444</v>
      </c>
      <c r="AR32" s="1">
        <f t="shared" si="62"/>
        <v>-0.35343177502635031</v>
      </c>
      <c r="AS32" s="1">
        <f t="shared" si="62"/>
        <v>0.48042603352243674</v>
      </c>
      <c r="AT32" s="1">
        <f t="shared" si="62"/>
        <v>-0.53265721971697233</v>
      </c>
      <c r="AU32" s="1">
        <f t="shared" si="62"/>
        <v>0.14490637821892438</v>
      </c>
      <c r="AV32" s="1">
        <f t="shared" si="62"/>
        <v>3.5285672998658524</v>
      </c>
      <c r="AW32" s="1">
        <f t="shared" si="62"/>
        <v>0.25163332624918955</v>
      </c>
      <c r="AX32" s="1">
        <f t="shared" si="62"/>
        <v>-8.7947168660198888E-2</v>
      </c>
      <c r="AY32" s="1">
        <f t="shared" si="62"/>
        <v>-0.26336196765431158</v>
      </c>
      <c r="AZ32" s="1">
        <f t="shared" si="62"/>
        <v>-0.87579816641350328</v>
      </c>
      <c r="BA32" s="1">
        <f t="shared" si="62"/>
        <v>-1.0019536337903654</v>
      </c>
      <c r="BB32" s="1">
        <f t="shared" ref="BB32:BY32" si="63">IF(AD32&gt;=1,1,0)</f>
        <v>0</v>
      </c>
      <c r="BC32" s="1">
        <f t="shared" si="63"/>
        <v>1</v>
      </c>
      <c r="BD32" s="1">
        <f t="shared" si="63"/>
        <v>0</v>
      </c>
      <c r="BE32" s="1">
        <f t="shared" si="63"/>
        <v>0</v>
      </c>
      <c r="BF32" s="1">
        <f t="shared" si="63"/>
        <v>0</v>
      </c>
      <c r="BG32" s="1">
        <f t="shared" si="63"/>
        <v>0</v>
      </c>
      <c r="BH32" s="1">
        <f t="shared" si="63"/>
        <v>0</v>
      </c>
      <c r="BI32" s="1">
        <f t="shared" si="63"/>
        <v>1</v>
      </c>
      <c r="BJ32" s="1">
        <f t="shared" si="63"/>
        <v>0</v>
      </c>
      <c r="BK32" s="1">
        <f t="shared" si="63"/>
        <v>0</v>
      </c>
      <c r="BL32" s="1">
        <f t="shared" si="63"/>
        <v>0</v>
      </c>
      <c r="BM32" s="1">
        <f t="shared" si="63"/>
        <v>0</v>
      </c>
      <c r="BN32" s="1">
        <f t="shared" si="63"/>
        <v>0</v>
      </c>
      <c r="BO32" s="1">
        <f t="shared" si="63"/>
        <v>1</v>
      </c>
      <c r="BP32" s="1">
        <f t="shared" si="63"/>
        <v>0</v>
      </c>
      <c r="BQ32" s="1">
        <f t="shared" si="63"/>
        <v>0</v>
      </c>
      <c r="BR32" s="1">
        <f t="shared" si="63"/>
        <v>0</v>
      </c>
      <c r="BS32" s="1">
        <f t="shared" si="63"/>
        <v>0</v>
      </c>
      <c r="BT32" s="1">
        <f t="shared" si="63"/>
        <v>1</v>
      </c>
      <c r="BU32" s="1">
        <f t="shared" si="63"/>
        <v>0</v>
      </c>
      <c r="BV32" s="1">
        <f t="shared" si="63"/>
        <v>0</v>
      </c>
      <c r="BW32" s="1">
        <f t="shared" si="63"/>
        <v>0</v>
      </c>
      <c r="BX32" s="1">
        <f t="shared" si="63"/>
        <v>0</v>
      </c>
      <c r="BY32" s="1">
        <f t="shared" si="63"/>
        <v>0</v>
      </c>
    </row>
    <row r="33" spans="1:77" x14ac:dyDescent="0.25">
      <c r="A33" s="5" t="s">
        <v>107</v>
      </c>
      <c r="B33" s="1" t="s">
        <v>108</v>
      </c>
      <c r="C33" s="1" t="s">
        <v>109</v>
      </c>
      <c r="D33" s="1">
        <v>704190</v>
      </c>
      <c r="E33" s="1">
        <v>699740</v>
      </c>
      <c r="F33" s="1">
        <v>617330</v>
      </c>
      <c r="G33" s="1">
        <v>1110100</v>
      </c>
      <c r="H33" s="1">
        <v>2150760</v>
      </c>
      <c r="I33" s="1">
        <v>1819800</v>
      </c>
      <c r="J33" s="1">
        <v>1448120</v>
      </c>
      <c r="K33" s="1">
        <v>1318000</v>
      </c>
      <c r="L33" s="1">
        <v>834030</v>
      </c>
      <c r="M33" s="1">
        <v>1254880</v>
      </c>
      <c r="N33" s="1">
        <v>1681980</v>
      </c>
      <c r="O33" s="1">
        <v>1263070</v>
      </c>
      <c r="P33" s="1">
        <v>581620</v>
      </c>
      <c r="Q33" s="1">
        <v>459410</v>
      </c>
      <c r="R33" s="1">
        <v>440500</v>
      </c>
      <c r="S33" s="1">
        <v>703350</v>
      </c>
      <c r="T33" s="1">
        <v>658270</v>
      </c>
      <c r="U33" s="1">
        <v>1043220</v>
      </c>
      <c r="V33" s="1">
        <v>1233530</v>
      </c>
      <c r="W33" s="1">
        <v>1024730</v>
      </c>
      <c r="X33" s="1">
        <v>1008940</v>
      </c>
      <c r="Y33" s="1">
        <v>817330</v>
      </c>
      <c r="Z33" s="1">
        <v>796140</v>
      </c>
      <c r="AA33" s="1">
        <v>701490</v>
      </c>
      <c r="AB33" s="3">
        <f t="shared" si="0"/>
        <v>1015438.75</v>
      </c>
      <c r="AC33" s="1">
        <f t="shared" si="1"/>
        <v>440444.31160908908</v>
      </c>
      <c r="AD33" s="1">
        <f t="shared" ref="AD33:BA33" si="64">(D33-$AB33)/$AC33</f>
        <v>-0.70666992806174544</v>
      </c>
      <c r="AE33" s="1">
        <f t="shared" si="64"/>
        <v>-0.71677336198678054</v>
      </c>
      <c r="AF33" s="1">
        <f t="shared" si="64"/>
        <v>-0.90387987654007096</v>
      </c>
      <c r="AG33" s="1">
        <f t="shared" si="64"/>
        <v>0.21492217632274799</v>
      </c>
      <c r="AH33" s="1">
        <f t="shared" si="64"/>
        <v>2.5776726366434275</v>
      </c>
      <c r="AI33" s="1">
        <f t="shared" si="64"/>
        <v>1.8262496047716037</v>
      </c>
      <c r="AJ33" s="1">
        <f t="shared" si="64"/>
        <v>0.98237447639923414</v>
      </c>
      <c r="AK33" s="1">
        <f t="shared" si="64"/>
        <v>0.68694552756202809</v>
      </c>
      <c r="AL33" s="1">
        <f t="shared" si="64"/>
        <v>-0.41187670090971024</v>
      </c>
      <c r="AM33" s="1">
        <f t="shared" si="64"/>
        <v>0.54363569624782238</v>
      </c>
      <c r="AN33" s="1">
        <f t="shared" si="64"/>
        <v>1.5133383095922022</v>
      </c>
      <c r="AO33" s="1">
        <f t="shared" si="64"/>
        <v>0.56223055553906676</v>
      </c>
      <c r="AP33" s="1">
        <f t="shared" si="64"/>
        <v>-0.98495709574524026</v>
      </c>
      <c r="AQ33" s="1">
        <f t="shared" si="64"/>
        <v>-1.2624269069763727</v>
      </c>
      <c r="AR33" s="1">
        <f t="shared" si="64"/>
        <v>-1.3053608250712971</v>
      </c>
      <c r="AS33" s="1">
        <f t="shared" si="64"/>
        <v>-0.70857709311725769</v>
      </c>
      <c r="AT33" s="1">
        <f t="shared" si="64"/>
        <v>-0.81092828442974807</v>
      </c>
      <c r="AU33" s="1">
        <f t="shared" si="64"/>
        <v>6.3075510950535124E-2</v>
      </c>
      <c r="AV33" s="1">
        <f t="shared" si="64"/>
        <v>0.49516191775355289</v>
      </c>
      <c r="AW33" s="1">
        <f t="shared" si="64"/>
        <v>2.1095175383366818E-2</v>
      </c>
      <c r="AX33" s="1">
        <f t="shared" si="64"/>
        <v>-1.4754986791083557E-2</v>
      </c>
      <c r="AY33" s="1">
        <f t="shared" si="64"/>
        <v>-0.44979295856096552</v>
      </c>
      <c r="AZ33" s="1">
        <f t="shared" si="64"/>
        <v>-0.49790346752085174</v>
      </c>
      <c r="BA33" s="1">
        <f t="shared" si="64"/>
        <v>-0.71280010145446338</v>
      </c>
      <c r="BB33" s="1">
        <f t="shared" ref="BB33:BY33" si="65">IF(AD33&gt;=1,1,0)</f>
        <v>0</v>
      </c>
      <c r="BC33" s="1">
        <f t="shared" si="65"/>
        <v>0</v>
      </c>
      <c r="BD33" s="1">
        <f t="shared" si="65"/>
        <v>0</v>
      </c>
      <c r="BE33" s="1">
        <f t="shared" si="65"/>
        <v>0</v>
      </c>
      <c r="BF33" s="1">
        <f t="shared" si="65"/>
        <v>1</v>
      </c>
      <c r="BG33" s="1">
        <f t="shared" si="65"/>
        <v>1</v>
      </c>
      <c r="BH33" s="1">
        <f t="shared" si="65"/>
        <v>0</v>
      </c>
      <c r="BI33" s="1">
        <f t="shared" si="65"/>
        <v>0</v>
      </c>
      <c r="BJ33" s="1">
        <f t="shared" si="65"/>
        <v>0</v>
      </c>
      <c r="BK33" s="1">
        <f t="shared" si="65"/>
        <v>0</v>
      </c>
      <c r="BL33" s="1">
        <f t="shared" si="65"/>
        <v>1</v>
      </c>
      <c r="BM33" s="1">
        <f t="shared" si="65"/>
        <v>0</v>
      </c>
      <c r="BN33" s="1">
        <f t="shared" si="65"/>
        <v>0</v>
      </c>
      <c r="BO33" s="1">
        <f t="shared" si="65"/>
        <v>0</v>
      </c>
      <c r="BP33" s="1">
        <f t="shared" si="65"/>
        <v>0</v>
      </c>
      <c r="BQ33" s="1">
        <f t="shared" si="65"/>
        <v>0</v>
      </c>
      <c r="BR33" s="1">
        <f t="shared" si="65"/>
        <v>0</v>
      </c>
      <c r="BS33" s="1">
        <f t="shared" si="65"/>
        <v>0</v>
      </c>
      <c r="BT33" s="1">
        <f t="shared" si="65"/>
        <v>0</v>
      </c>
      <c r="BU33" s="1">
        <f t="shared" si="65"/>
        <v>0</v>
      </c>
      <c r="BV33" s="1">
        <f t="shared" si="65"/>
        <v>0</v>
      </c>
      <c r="BW33" s="1">
        <f t="shared" si="65"/>
        <v>0</v>
      </c>
      <c r="BX33" s="1">
        <f t="shared" si="65"/>
        <v>0</v>
      </c>
      <c r="BY33" s="1">
        <f t="shared" si="65"/>
        <v>0</v>
      </c>
    </row>
    <row r="34" spans="1:77" x14ac:dyDescent="0.25">
      <c r="A34" s="5" t="s">
        <v>110</v>
      </c>
      <c r="B34" s="1" t="s">
        <v>108</v>
      </c>
      <c r="C34" s="1" t="s">
        <v>111</v>
      </c>
      <c r="D34" s="1">
        <v>20663110</v>
      </c>
      <c r="E34" s="1">
        <v>22936290</v>
      </c>
      <c r="F34" s="1">
        <v>19148810</v>
      </c>
      <c r="G34" s="1">
        <v>19480120</v>
      </c>
      <c r="H34" s="1">
        <v>16040000</v>
      </c>
      <c r="I34" s="1">
        <v>16168820</v>
      </c>
      <c r="J34" s="1">
        <v>18179620</v>
      </c>
      <c r="K34" s="1">
        <v>19984560</v>
      </c>
      <c r="L34" s="1">
        <v>18006640</v>
      </c>
      <c r="M34" s="1">
        <v>15216870</v>
      </c>
      <c r="N34" s="1">
        <v>16790990</v>
      </c>
      <c r="O34" s="1">
        <v>17083500</v>
      </c>
      <c r="P34" s="1">
        <v>16648170</v>
      </c>
      <c r="Q34" s="1">
        <v>16310900</v>
      </c>
      <c r="R34" s="1">
        <v>13776800</v>
      </c>
      <c r="S34" s="1">
        <v>16491270</v>
      </c>
      <c r="T34" s="1">
        <v>18142370</v>
      </c>
      <c r="U34" s="1">
        <v>17864800</v>
      </c>
      <c r="V34" s="1">
        <v>15384220</v>
      </c>
      <c r="W34" s="1">
        <v>20279510</v>
      </c>
      <c r="X34" s="1">
        <v>20145150</v>
      </c>
      <c r="Y34" s="1">
        <v>21673720</v>
      </c>
      <c r="Z34" s="1">
        <v>30660090</v>
      </c>
      <c r="AA34" s="1">
        <v>34989420</v>
      </c>
      <c r="AB34" s="3">
        <f t="shared" si="0"/>
        <v>19252739.583333332</v>
      </c>
      <c r="AC34" s="1">
        <f t="shared" si="1"/>
        <v>4765836.4793815762</v>
      </c>
      <c r="AD34" s="1">
        <f t="shared" ref="AD34:BA34" si="66">(D34-$AB34)/$AC34</f>
        <v>0.2959334468919253</v>
      </c>
      <c r="AE34" s="1">
        <f t="shared" si="66"/>
        <v>0.7729074282348547</v>
      </c>
      <c r="AF34" s="1">
        <f t="shared" si="66"/>
        <v>-2.180720714673328E-2</v>
      </c>
      <c r="AG34" s="1">
        <f t="shared" si="66"/>
        <v>4.7710494820874173E-2</v>
      </c>
      <c r="AH34" s="1">
        <f t="shared" si="66"/>
        <v>-0.67411871918656829</v>
      </c>
      <c r="AI34" s="1">
        <f t="shared" si="66"/>
        <v>-0.64708883669745787</v>
      </c>
      <c r="AJ34" s="1">
        <f t="shared" si="66"/>
        <v>-0.22516919914813824</v>
      </c>
      <c r="AK34" s="1">
        <f t="shared" si="66"/>
        <v>0.15355550276068858</v>
      </c>
      <c r="AL34" s="1">
        <f t="shared" si="66"/>
        <v>-0.26146503110719993</v>
      </c>
      <c r="AM34" s="1">
        <f t="shared" si="66"/>
        <v>-0.84683341545470614</v>
      </c>
      <c r="AN34" s="1">
        <f t="shared" si="66"/>
        <v>-0.51654092497373583</v>
      </c>
      <c r="AO34" s="1">
        <f t="shared" si="66"/>
        <v>-0.45516450107302392</v>
      </c>
      <c r="AP34" s="1">
        <f t="shared" si="66"/>
        <v>-0.5465083820230664</v>
      </c>
      <c r="AQ34" s="1">
        <f t="shared" si="66"/>
        <v>-0.61727665144631039</v>
      </c>
      <c r="AR34" s="1">
        <f t="shared" si="66"/>
        <v>-1.1489986295215693</v>
      </c>
      <c r="AS34" s="1">
        <f t="shared" si="66"/>
        <v>-0.57943019977296106</v>
      </c>
      <c r="AT34" s="1">
        <f t="shared" si="66"/>
        <v>-0.23298524574586657</v>
      </c>
      <c r="AU34" s="1">
        <f t="shared" si="66"/>
        <v>-0.29122685793731506</v>
      </c>
      <c r="AV34" s="1">
        <f t="shared" si="66"/>
        <v>-0.81171890812236147</v>
      </c>
      <c r="AW34" s="1">
        <f t="shared" si="66"/>
        <v>0.21544390394189597</v>
      </c>
      <c r="AX34" s="1">
        <f t="shared" si="66"/>
        <v>0.18725158123395555</v>
      </c>
      <c r="AY34" s="1">
        <f t="shared" si="66"/>
        <v>0.50798646305649553</v>
      </c>
      <c r="AZ34" s="1">
        <f t="shared" si="66"/>
        <v>2.3935673131082558</v>
      </c>
      <c r="BA34" s="1">
        <f t="shared" si="66"/>
        <v>3.3019765753080748</v>
      </c>
      <c r="BB34" s="1">
        <f t="shared" ref="BB34:BY34" si="67">IF(AD34&gt;=1,1,0)</f>
        <v>0</v>
      </c>
      <c r="BC34" s="1">
        <f t="shared" si="67"/>
        <v>0</v>
      </c>
      <c r="BD34" s="1">
        <f t="shared" si="67"/>
        <v>0</v>
      </c>
      <c r="BE34" s="1">
        <f t="shared" si="67"/>
        <v>0</v>
      </c>
      <c r="BF34" s="1">
        <f t="shared" si="67"/>
        <v>0</v>
      </c>
      <c r="BG34" s="1">
        <f t="shared" si="67"/>
        <v>0</v>
      </c>
      <c r="BH34" s="1">
        <f t="shared" si="67"/>
        <v>0</v>
      </c>
      <c r="BI34" s="1">
        <f t="shared" si="67"/>
        <v>0</v>
      </c>
      <c r="BJ34" s="1">
        <f t="shared" si="67"/>
        <v>0</v>
      </c>
      <c r="BK34" s="1">
        <f t="shared" si="67"/>
        <v>0</v>
      </c>
      <c r="BL34" s="1">
        <f t="shared" si="67"/>
        <v>0</v>
      </c>
      <c r="BM34" s="1">
        <f t="shared" si="67"/>
        <v>0</v>
      </c>
      <c r="BN34" s="1">
        <f t="shared" si="67"/>
        <v>0</v>
      </c>
      <c r="BO34" s="1">
        <f t="shared" si="67"/>
        <v>0</v>
      </c>
      <c r="BP34" s="1">
        <f t="shared" si="67"/>
        <v>0</v>
      </c>
      <c r="BQ34" s="1">
        <f t="shared" si="67"/>
        <v>0</v>
      </c>
      <c r="BR34" s="1">
        <f t="shared" si="67"/>
        <v>0</v>
      </c>
      <c r="BS34" s="1">
        <f t="shared" si="67"/>
        <v>0</v>
      </c>
      <c r="BT34" s="1">
        <f t="shared" si="67"/>
        <v>0</v>
      </c>
      <c r="BU34" s="1">
        <f t="shared" si="67"/>
        <v>0</v>
      </c>
      <c r="BV34" s="1">
        <f t="shared" si="67"/>
        <v>0</v>
      </c>
      <c r="BW34" s="1">
        <f t="shared" si="67"/>
        <v>0</v>
      </c>
      <c r="BX34" s="1">
        <f t="shared" si="67"/>
        <v>1</v>
      </c>
      <c r="BY34" s="1">
        <f t="shared" si="67"/>
        <v>1</v>
      </c>
    </row>
    <row r="35" spans="1:77" x14ac:dyDescent="0.25">
      <c r="A35" s="5" t="s">
        <v>112</v>
      </c>
      <c r="B35" s="1" t="s">
        <v>75</v>
      </c>
      <c r="C35" s="1" t="s">
        <v>76</v>
      </c>
      <c r="D35" s="1">
        <v>10360</v>
      </c>
      <c r="E35" s="1">
        <v>36080</v>
      </c>
      <c r="F35" s="1">
        <v>243350</v>
      </c>
      <c r="G35" s="1">
        <v>452150</v>
      </c>
      <c r="H35" s="1">
        <v>450890</v>
      </c>
      <c r="I35" s="1">
        <v>376700</v>
      </c>
      <c r="J35" s="1">
        <v>379700</v>
      </c>
      <c r="K35" s="1">
        <v>472000</v>
      </c>
      <c r="L35" s="1">
        <v>398600</v>
      </c>
      <c r="M35" s="1">
        <v>387860</v>
      </c>
      <c r="N35" s="1">
        <v>319690</v>
      </c>
      <c r="O35" s="1">
        <v>317950</v>
      </c>
      <c r="P35" s="1">
        <v>265940</v>
      </c>
      <c r="Q35" s="1">
        <v>274010</v>
      </c>
      <c r="R35" s="1">
        <v>373780</v>
      </c>
      <c r="S35" s="1">
        <v>608710</v>
      </c>
      <c r="T35" s="1">
        <v>490010</v>
      </c>
      <c r="U35" s="1">
        <v>683610</v>
      </c>
      <c r="V35" s="1">
        <v>489750</v>
      </c>
      <c r="W35" s="1">
        <v>480590</v>
      </c>
      <c r="X35" s="1">
        <v>415540</v>
      </c>
      <c r="Y35" s="1">
        <v>213340</v>
      </c>
      <c r="Z35" s="1">
        <v>218160</v>
      </c>
      <c r="AA35" s="1">
        <v>247940</v>
      </c>
      <c r="AB35" s="3">
        <f t="shared" si="0"/>
        <v>358612.91666666669</v>
      </c>
      <c r="AC35" s="1">
        <f t="shared" si="1"/>
        <v>156721.46584415482</v>
      </c>
      <c r="AD35" s="1">
        <f t="shared" ref="AD35:BA35" si="68">(D35-$AB35)/$AC35</f>
        <v>-2.2221137021074853</v>
      </c>
      <c r="AE35" s="1">
        <f t="shared" si="68"/>
        <v>-2.0580008930454761</v>
      </c>
      <c r="AF35" s="1">
        <f t="shared" si="68"/>
        <v>-0.73546349280120393</v>
      </c>
      <c r="AG35" s="1">
        <f t="shared" si="68"/>
        <v>0.59683645012832764</v>
      </c>
      <c r="AH35" s="1">
        <f t="shared" si="68"/>
        <v>0.58879670909340809</v>
      </c>
      <c r="AI35" s="1">
        <f t="shared" si="68"/>
        <v>0.11540910006111904</v>
      </c>
      <c r="AJ35" s="1">
        <f t="shared" si="68"/>
        <v>0.13455134062045138</v>
      </c>
      <c r="AK35" s="1">
        <f t="shared" si="68"/>
        <v>0.72349427516257669</v>
      </c>
      <c r="AL35" s="1">
        <f t="shared" si="68"/>
        <v>0.25514745614424522</v>
      </c>
      <c r="AM35" s="1">
        <f t="shared" si="68"/>
        <v>0.18661823494183538</v>
      </c>
      <c r="AN35" s="1">
        <f t="shared" si="68"/>
        <v>-0.24835727803472671</v>
      </c>
      <c r="AO35" s="1">
        <f t="shared" si="68"/>
        <v>-0.25945977755913946</v>
      </c>
      <c r="AP35" s="1">
        <f t="shared" si="68"/>
        <v>-0.59132242138943136</v>
      </c>
      <c r="AQ35" s="1">
        <f t="shared" si="68"/>
        <v>-0.53982979428482725</v>
      </c>
      <c r="AR35" s="1">
        <f t="shared" si="68"/>
        <v>9.6777319250035548E-2</v>
      </c>
      <c r="AS35" s="1">
        <f t="shared" si="68"/>
        <v>1.5958061774513519</v>
      </c>
      <c r="AT35" s="1">
        <f t="shared" si="68"/>
        <v>0.83841152598710189</v>
      </c>
      <c r="AU35" s="1">
        <f t="shared" si="68"/>
        <v>2.0737241167493496</v>
      </c>
      <c r="AV35" s="1">
        <f t="shared" si="68"/>
        <v>0.83675253180529308</v>
      </c>
      <c r="AW35" s="1">
        <f t="shared" si="68"/>
        <v>0.77830489063079833</v>
      </c>
      <c r="AX35" s="1">
        <f t="shared" si="68"/>
        <v>0.36323730783594188</v>
      </c>
      <c r="AY35" s="1">
        <f t="shared" si="68"/>
        <v>-0.92694970586305847</v>
      </c>
      <c r="AZ35" s="1">
        <f t="shared" si="68"/>
        <v>-0.89619450603106454</v>
      </c>
      <c r="BA35" s="1">
        <f t="shared" si="68"/>
        <v>-0.70617586474542537</v>
      </c>
      <c r="BB35" s="1">
        <f t="shared" ref="BB35:BY35" si="69">IF(AD35&gt;=1,1,0)</f>
        <v>0</v>
      </c>
      <c r="BC35" s="1">
        <f t="shared" si="69"/>
        <v>0</v>
      </c>
      <c r="BD35" s="1">
        <f t="shared" si="69"/>
        <v>0</v>
      </c>
      <c r="BE35" s="1">
        <f t="shared" si="69"/>
        <v>0</v>
      </c>
      <c r="BF35" s="1">
        <f t="shared" si="69"/>
        <v>0</v>
      </c>
      <c r="BG35" s="1">
        <f t="shared" si="69"/>
        <v>0</v>
      </c>
      <c r="BH35" s="1">
        <f t="shared" si="69"/>
        <v>0</v>
      </c>
      <c r="BI35" s="1">
        <f t="shared" si="69"/>
        <v>0</v>
      </c>
      <c r="BJ35" s="1">
        <f t="shared" si="69"/>
        <v>0</v>
      </c>
      <c r="BK35" s="1">
        <f t="shared" si="69"/>
        <v>0</v>
      </c>
      <c r="BL35" s="1">
        <f t="shared" si="69"/>
        <v>0</v>
      </c>
      <c r="BM35" s="1">
        <f t="shared" si="69"/>
        <v>0</v>
      </c>
      <c r="BN35" s="1">
        <f t="shared" si="69"/>
        <v>0</v>
      </c>
      <c r="BO35" s="1">
        <f t="shared" si="69"/>
        <v>0</v>
      </c>
      <c r="BP35" s="1">
        <f t="shared" si="69"/>
        <v>0</v>
      </c>
      <c r="BQ35" s="1">
        <f t="shared" si="69"/>
        <v>1</v>
      </c>
      <c r="BR35" s="1">
        <f t="shared" si="69"/>
        <v>0</v>
      </c>
      <c r="BS35" s="1">
        <f t="shared" si="69"/>
        <v>1</v>
      </c>
      <c r="BT35" s="1">
        <f t="shared" si="69"/>
        <v>0</v>
      </c>
      <c r="BU35" s="1">
        <f t="shared" si="69"/>
        <v>0</v>
      </c>
      <c r="BV35" s="1">
        <f t="shared" si="69"/>
        <v>0</v>
      </c>
      <c r="BW35" s="1">
        <f t="shared" si="69"/>
        <v>0</v>
      </c>
      <c r="BX35" s="1">
        <f t="shared" si="69"/>
        <v>0</v>
      </c>
      <c r="BY35" s="1">
        <f t="shared" si="69"/>
        <v>0</v>
      </c>
    </row>
    <row r="36" spans="1:77" x14ac:dyDescent="0.25">
      <c r="A36" s="5" t="s">
        <v>113</v>
      </c>
      <c r="B36" s="1" t="s">
        <v>69</v>
      </c>
      <c r="C36" s="1" t="s">
        <v>114</v>
      </c>
      <c r="D36" s="1">
        <v>152680</v>
      </c>
      <c r="E36" s="1">
        <v>264690</v>
      </c>
      <c r="F36" s="1">
        <v>181240</v>
      </c>
      <c r="G36" s="1">
        <v>155610</v>
      </c>
      <c r="H36" s="1">
        <v>135250</v>
      </c>
      <c r="I36" s="1">
        <v>162180</v>
      </c>
      <c r="J36" s="1">
        <v>163790</v>
      </c>
      <c r="K36" s="1">
        <v>163900</v>
      </c>
      <c r="L36" s="1">
        <v>194520</v>
      </c>
      <c r="M36" s="1">
        <v>162320</v>
      </c>
      <c r="N36" s="1">
        <v>162640</v>
      </c>
      <c r="O36" s="1">
        <v>196580</v>
      </c>
      <c r="P36" s="1">
        <v>247600</v>
      </c>
      <c r="Q36" s="1">
        <v>305500</v>
      </c>
      <c r="R36" s="1">
        <v>1420600</v>
      </c>
      <c r="S36" s="1">
        <v>2086980</v>
      </c>
      <c r="T36" s="1">
        <v>1518430</v>
      </c>
      <c r="U36" s="1">
        <v>554430</v>
      </c>
      <c r="V36" s="1">
        <v>368910</v>
      </c>
      <c r="W36" s="1">
        <v>366270</v>
      </c>
      <c r="X36" s="1">
        <v>302220</v>
      </c>
      <c r="Y36" s="1">
        <v>248360</v>
      </c>
      <c r="Z36" s="1">
        <v>229920</v>
      </c>
      <c r="AA36" s="1">
        <v>229500</v>
      </c>
      <c r="AB36" s="3">
        <f t="shared" si="0"/>
        <v>415588.33333333331</v>
      </c>
      <c r="AC36" s="1">
        <f t="shared" si="1"/>
        <v>506605.18047495134</v>
      </c>
      <c r="AD36" s="1">
        <f t="shared" ref="AD36:BA36" si="70">(D36-$AB36)/$AC36</f>
        <v>-0.51896100447858051</v>
      </c>
      <c r="AE36" s="1">
        <f t="shared" si="70"/>
        <v>-0.29786180471321561</v>
      </c>
      <c r="AF36" s="1">
        <f t="shared" si="70"/>
        <v>-0.462585742043987</v>
      </c>
      <c r="AG36" s="1">
        <f t="shared" si="70"/>
        <v>-0.5131774078772724</v>
      </c>
      <c r="AH36" s="1">
        <f t="shared" si="70"/>
        <v>-0.55336649552322215</v>
      </c>
      <c r="AI36" s="1">
        <f t="shared" si="70"/>
        <v>-0.50020872880881029</v>
      </c>
      <c r="AJ36" s="1">
        <f t="shared" si="70"/>
        <v>-0.49703071156372286</v>
      </c>
      <c r="AK36" s="1">
        <f t="shared" si="70"/>
        <v>-0.49681357995070446</v>
      </c>
      <c r="AL36" s="1">
        <f t="shared" si="70"/>
        <v>-0.43637203458140289</v>
      </c>
      <c r="AM36" s="1">
        <f t="shared" si="70"/>
        <v>-0.4999323794831505</v>
      </c>
      <c r="AN36" s="1">
        <f t="shared" si="70"/>
        <v>-0.49930072388164243</v>
      </c>
      <c r="AO36" s="1">
        <f t="shared" si="70"/>
        <v>-0.43230575164669482</v>
      </c>
      <c r="AP36" s="1">
        <f t="shared" si="70"/>
        <v>-0.33159616168125494</v>
      </c>
      <c r="AQ36" s="1">
        <f t="shared" si="70"/>
        <v>-0.21730597628339202</v>
      </c>
      <c r="AR36" s="1">
        <f t="shared" si="70"/>
        <v>1.9838164025966938</v>
      </c>
      <c r="AS36" s="1">
        <f t="shared" si="70"/>
        <v>3.299199714262115</v>
      </c>
      <c r="AT36" s="1">
        <f t="shared" si="70"/>
        <v>2.1769253635202332</v>
      </c>
      <c r="AU36" s="1">
        <f t="shared" si="70"/>
        <v>0.27406286397723006</v>
      </c>
      <c r="AV36" s="1">
        <f t="shared" si="70"/>
        <v>-9.213947099706235E-2</v>
      </c>
      <c r="AW36" s="1">
        <f t="shared" si="70"/>
        <v>-9.7350629709503769E-2</v>
      </c>
      <c r="AX36" s="1">
        <f t="shared" si="70"/>
        <v>-0.22378044619884954</v>
      </c>
      <c r="AY36" s="1">
        <f t="shared" si="70"/>
        <v>-0.33009597962767334</v>
      </c>
      <c r="AZ36" s="1">
        <f t="shared" si="70"/>
        <v>-0.36649513366457476</v>
      </c>
      <c r="BA36" s="1">
        <f t="shared" si="70"/>
        <v>-0.36732418164155406</v>
      </c>
      <c r="BB36" s="1">
        <f t="shared" ref="BB36:BY36" si="71">IF(AD36&gt;=1,1,0)</f>
        <v>0</v>
      </c>
      <c r="BC36" s="1">
        <f t="shared" si="71"/>
        <v>0</v>
      </c>
      <c r="BD36" s="1">
        <f t="shared" si="71"/>
        <v>0</v>
      </c>
      <c r="BE36" s="1">
        <f t="shared" si="71"/>
        <v>0</v>
      </c>
      <c r="BF36" s="1">
        <f t="shared" si="71"/>
        <v>0</v>
      </c>
      <c r="BG36" s="1">
        <f t="shared" si="71"/>
        <v>0</v>
      </c>
      <c r="BH36" s="1">
        <f t="shared" si="71"/>
        <v>0</v>
      </c>
      <c r="BI36" s="1">
        <f t="shared" si="71"/>
        <v>0</v>
      </c>
      <c r="BJ36" s="1">
        <f t="shared" si="71"/>
        <v>0</v>
      </c>
      <c r="BK36" s="1">
        <f t="shared" si="71"/>
        <v>0</v>
      </c>
      <c r="BL36" s="1">
        <f t="shared" si="71"/>
        <v>0</v>
      </c>
      <c r="BM36" s="1">
        <f t="shared" si="71"/>
        <v>0</v>
      </c>
      <c r="BN36" s="1">
        <f t="shared" si="71"/>
        <v>0</v>
      </c>
      <c r="BO36" s="1">
        <f t="shared" si="71"/>
        <v>0</v>
      </c>
      <c r="BP36" s="1">
        <f t="shared" si="71"/>
        <v>1</v>
      </c>
      <c r="BQ36" s="1">
        <f t="shared" si="71"/>
        <v>1</v>
      </c>
      <c r="BR36" s="1">
        <f t="shared" si="71"/>
        <v>1</v>
      </c>
      <c r="BS36" s="1">
        <f t="shared" si="71"/>
        <v>0</v>
      </c>
      <c r="BT36" s="1">
        <f t="shared" si="71"/>
        <v>0</v>
      </c>
      <c r="BU36" s="1">
        <f t="shared" si="71"/>
        <v>0</v>
      </c>
      <c r="BV36" s="1">
        <f t="shared" si="71"/>
        <v>0</v>
      </c>
      <c r="BW36" s="1">
        <f t="shared" si="71"/>
        <v>0</v>
      </c>
      <c r="BX36" s="1">
        <f t="shared" si="71"/>
        <v>0</v>
      </c>
      <c r="BY36" s="1">
        <f t="shared" si="71"/>
        <v>0</v>
      </c>
    </row>
    <row r="37" spans="1:77" x14ac:dyDescent="0.25">
      <c r="A37" s="1" t="s">
        <v>115</v>
      </c>
      <c r="B37" s="1" t="s">
        <v>63</v>
      </c>
      <c r="C37" s="1" t="s">
        <v>64</v>
      </c>
      <c r="D37" s="1">
        <v>16276330</v>
      </c>
      <c r="E37" s="1">
        <v>16511280</v>
      </c>
      <c r="F37" s="1">
        <v>15123740</v>
      </c>
      <c r="G37" s="1">
        <v>17408010</v>
      </c>
      <c r="H37" s="1">
        <v>19679710</v>
      </c>
      <c r="I37" s="1">
        <v>16515390</v>
      </c>
      <c r="J37" s="1">
        <v>13839800</v>
      </c>
      <c r="K37" s="1">
        <v>15797530</v>
      </c>
      <c r="L37" s="1">
        <v>15582920</v>
      </c>
      <c r="M37" s="1">
        <v>15595800</v>
      </c>
      <c r="N37" s="1">
        <v>16502000</v>
      </c>
      <c r="O37" s="1">
        <v>16991840</v>
      </c>
      <c r="P37" s="1">
        <v>16548240</v>
      </c>
      <c r="Q37" s="1">
        <v>14596410</v>
      </c>
      <c r="R37" s="1">
        <v>13738710</v>
      </c>
      <c r="S37" s="1">
        <v>16192880</v>
      </c>
      <c r="T37" s="1">
        <v>14075260</v>
      </c>
      <c r="U37" s="1">
        <v>14842320</v>
      </c>
      <c r="V37" s="1">
        <v>15271830</v>
      </c>
      <c r="W37" s="1">
        <v>16034070</v>
      </c>
      <c r="X37" s="1">
        <v>14890060</v>
      </c>
      <c r="Y37" s="1">
        <v>31583760</v>
      </c>
      <c r="Z37" s="1">
        <v>39437640</v>
      </c>
      <c r="AA37" s="1">
        <v>26410770</v>
      </c>
      <c r="AB37" s="3">
        <f t="shared" si="0"/>
        <v>17893595.833333332</v>
      </c>
      <c r="AC37" s="1">
        <f t="shared" si="1"/>
        <v>6086005.8629734442</v>
      </c>
      <c r="AD37" s="1">
        <f t="shared" ref="AD37:BA37" si="72">(D37-$AB37)/$AC37</f>
        <v>-0.26573517504683825</v>
      </c>
      <c r="AE37" s="1">
        <f t="shared" si="72"/>
        <v>-0.22713021716643123</v>
      </c>
      <c r="AF37" s="1">
        <f t="shared" si="72"/>
        <v>-0.45511882434829953</v>
      </c>
      <c r="AG37" s="1">
        <f t="shared" si="72"/>
        <v>-7.9787276625476189E-2</v>
      </c>
      <c r="AH37" s="1">
        <f t="shared" si="72"/>
        <v>0.29347887709625453</v>
      </c>
      <c r="AI37" s="1">
        <f t="shared" si="72"/>
        <v>-0.22645489740951072</v>
      </c>
      <c r="AJ37" s="1">
        <f t="shared" si="72"/>
        <v>-0.66608477293723245</v>
      </c>
      <c r="AK37" s="1">
        <f t="shared" si="72"/>
        <v>-0.3444074620574315</v>
      </c>
      <c r="AL37" s="1">
        <f t="shared" si="72"/>
        <v>-0.37967032654227573</v>
      </c>
      <c r="AM37" s="1">
        <f t="shared" si="72"/>
        <v>-0.3775539960145054</v>
      </c>
      <c r="AN37" s="1">
        <f t="shared" si="72"/>
        <v>-0.22865502673923471</v>
      </c>
      <c r="AO37" s="1">
        <f t="shared" si="72"/>
        <v>-0.14816874213340975</v>
      </c>
      <c r="AP37" s="1">
        <f t="shared" si="72"/>
        <v>-0.22105726869543807</v>
      </c>
      <c r="AQ37" s="1">
        <f t="shared" si="72"/>
        <v>-0.54176514245459895</v>
      </c>
      <c r="AR37" s="1">
        <f t="shared" si="72"/>
        <v>-0.68269500997545485</v>
      </c>
      <c r="AS37" s="1">
        <f t="shared" si="72"/>
        <v>-0.27944695940572301</v>
      </c>
      <c r="AT37" s="1">
        <f t="shared" si="72"/>
        <v>-0.62739601625487185</v>
      </c>
      <c r="AU37" s="1">
        <f t="shared" si="72"/>
        <v>-0.50135933188907056</v>
      </c>
      <c r="AV37" s="1">
        <f t="shared" si="72"/>
        <v>-0.43078595262023195</v>
      </c>
      <c r="AW37" s="1">
        <f t="shared" si="72"/>
        <v>-0.30554124908858077</v>
      </c>
      <c r="AX37" s="1">
        <f t="shared" si="72"/>
        <v>-0.49351510678070437</v>
      </c>
      <c r="AY37" s="1">
        <f t="shared" si="72"/>
        <v>2.2494497170888454</v>
      </c>
      <c r="AZ37" s="1">
        <f t="shared" si="72"/>
        <v>3.5399315498097268</v>
      </c>
      <c r="BA37" s="1">
        <f t="shared" si="72"/>
        <v>1.3994686101904978</v>
      </c>
      <c r="BB37" s="1">
        <f t="shared" ref="BB37:BY37" si="73">IF(AD37&gt;=1,1,0)</f>
        <v>0</v>
      </c>
      <c r="BC37" s="1">
        <f t="shared" si="73"/>
        <v>0</v>
      </c>
      <c r="BD37" s="1">
        <f t="shared" si="73"/>
        <v>0</v>
      </c>
      <c r="BE37" s="1">
        <f t="shared" si="73"/>
        <v>0</v>
      </c>
      <c r="BF37" s="1">
        <f t="shared" si="73"/>
        <v>0</v>
      </c>
      <c r="BG37" s="1">
        <f t="shared" si="73"/>
        <v>0</v>
      </c>
      <c r="BH37" s="1">
        <f t="shared" si="73"/>
        <v>0</v>
      </c>
      <c r="BI37" s="1">
        <f t="shared" si="73"/>
        <v>0</v>
      </c>
      <c r="BJ37" s="1">
        <f t="shared" si="73"/>
        <v>0</v>
      </c>
      <c r="BK37" s="1">
        <f t="shared" si="73"/>
        <v>0</v>
      </c>
      <c r="BL37" s="1">
        <f t="shared" si="73"/>
        <v>0</v>
      </c>
      <c r="BM37" s="1">
        <f t="shared" si="73"/>
        <v>0</v>
      </c>
      <c r="BN37" s="1">
        <f t="shared" si="73"/>
        <v>0</v>
      </c>
      <c r="BO37" s="1">
        <f t="shared" si="73"/>
        <v>0</v>
      </c>
      <c r="BP37" s="1">
        <f t="shared" si="73"/>
        <v>0</v>
      </c>
      <c r="BQ37" s="1">
        <f t="shared" si="73"/>
        <v>0</v>
      </c>
      <c r="BR37" s="1">
        <f t="shared" si="73"/>
        <v>0</v>
      </c>
      <c r="BS37" s="1">
        <f t="shared" si="73"/>
        <v>0</v>
      </c>
      <c r="BT37" s="1">
        <f t="shared" si="73"/>
        <v>0</v>
      </c>
      <c r="BU37" s="1">
        <f t="shared" si="73"/>
        <v>0</v>
      </c>
      <c r="BV37" s="1">
        <f t="shared" si="73"/>
        <v>0</v>
      </c>
      <c r="BW37" s="1">
        <f t="shared" si="73"/>
        <v>1</v>
      </c>
      <c r="BX37" s="1">
        <f t="shared" si="73"/>
        <v>1</v>
      </c>
      <c r="BY37" s="1">
        <f t="shared" si="73"/>
        <v>1</v>
      </c>
    </row>
    <row r="38" spans="1:77" x14ac:dyDescent="0.25">
      <c r="A38" s="1" t="s">
        <v>116</v>
      </c>
      <c r="B38" s="1" t="s">
        <v>63</v>
      </c>
      <c r="C38" s="1" t="s">
        <v>64</v>
      </c>
      <c r="D38" s="1">
        <v>13152770</v>
      </c>
      <c r="E38" s="1">
        <v>12811050</v>
      </c>
      <c r="F38" s="1">
        <v>11043080</v>
      </c>
      <c r="G38" s="1">
        <v>11202500</v>
      </c>
      <c r="H38" s="1">
        <v>9983830</v>
      </c>
      <c r="I38" s="1">
        <v>11353770</v>
      </c>
      <c r="J38" s="1">
        <v>10054320</v>
      </c>
      <c r="K38" s="1">
        <v>9400060</v>
      </c>
      <c r="L38" s="1">
        <v>9913380</v>
      </c>
      <c r="M38" s="1">
        <v>16913860</v>
      </c>
      <c r="N38" s="1">
        <v>13025910</v>
      </c>
      <c r="O38" s="1">
        <v>10520860</v>
      </c>
      <c r="P38" s="1">
        <v>10719040</v>
      </c>
      <c r="Q38" s="1">
        <v>10164380</v>
      </c>
      <c r="R38" s="1">
        <v>9576480</v>
      </c>
      <c r="S38" s="1">
        <v>9714580</v>
      </c>
      <c r="T38" s="1">
        <v>9635180</v>
      </c>
      <c r="U38" s="1">
        <v>11326180</v>
      </c>
      <c r="V38" s="1">
        <v>10453870</v>
      </c>
      <c r="W38" s="1">
        <v>11316800</v>
      </c>
      <c r="X38" s="1">
        <v>10942020</v>
      </c>
      <c r="Y38" s="1">
        <v>11935120</v>
      </c>
      <c r="Z38" s="1">
        <v>11455810</v>
      </c>
      <c r="AA38" s="1">
        <v>10719600</v>
      </c>
      <c r="AB38" s="3">
        <f t="shared" si="0"/>
        <v>11138935.416666666</v>
      </c>
      <c r="AC38" s="1">
        <f t="shared" si="1"/>
        <v>1622960.4053221089</v>
      </c>
      <c r="AD38" s="1">
        <f t="shared" ref="AD38:BA38" si="74">(D38-$AB38)/$AC38</f>
        <v>1.2408402427622061</v>
      </c>
      <c r="AE38" s="1">
        <f t="shared" si="74"/>
        <v>1.0302867388816361</v>
      </c>
      <c r="AF38" s="1">
        <f t="shared" si="74"/>
        <v>-5.9062079612251309E-2</v>
      </c>
      <c r="AG38" s="1">
        <f t="shared" si="74"/>
        <v>3.9165825071818865E-2</v>
      </c>
      <c r="AH38" s="1">
        <f t="shared" si="74"/>
        <v>-0.71172741668790884</v>
      </c>
      <c r="AI38" s="1">
        <f t="shared" si="74"/>
        <v>0.13237204224381294</v>
      </c>
      <c r="AJ38" s="1">
        <f t="shared" si="74"/>
        <v>-0.66829444089327761</v>
      </c>
      <c r="AK38" s="1">
        <f t="shared" si="74"/>
        <v>-1.0714219588872542</v>
      </c>
      <c r="AL38" s="1">
        <f t="shared" si="74"/>
        <v>-0.75513574616346235</v>
      </c>
      <c r="AM38" s="1">
        <f t="shared" si="74"/>
        <v>3.5582658482584391</v>
      </c>
      <c r="AN38" s="1">
        <f t="shared" si="74"/>
        <v>1.1626744418073627</v>
      </c>
      <c r="AO38" s="1">
        <f t="shared" si="74"/>
        <v>-0.38083209833082565</v>
      </c>
      <c r="AP38" s="1">
        <f t="shared" si="74"/>
        <v>-0.25872191046048926</v>
      </c>
      <c r="AQ38" s="1">
        <f t="shared" si="74"/>
        <v>-0.60048009395105739</v>
      </c>
      <c r="AR38" s="1">
        <f t="shared" si="74"/>
        <v>-0.9627193685951726</v>
      </c>
      <c r="AS38" s="1">
        <f t="shared" si="74"/>
        <v>-0.87762795197950272</v>
      </c>
      <c r="AT38" s="1">
        <f t="shared" si="74"/>
        <v>-0.92655089534868584</v>
      </c>
      <c r="AU38" s="1">
        <f t="shared" si="74"/>
        <v>0.11537224365998722</v>
      </c>
      <c r="AV38" s="1">
        <f t="shared" si="74"/>
        <v>-0.42210852120616038</v>
      </c>
      <c r="AW38" s="1">
        <f t="shared" si="74"/>
        <v>0.10959268183627263</v>
      </c>
      <c r="AX38" s="1">
        <f t="shared" si="74"/>
        <v>-0.12133100476199495</v>
      </c>
      <c r="AY38" s="1">
        <f t="shared" si="74"/>
        <v>0.49057548213895902</v>
      </c>
      <c r="AZ38" s="1">
        <f t="shared" si="74"/>
        <v>0.19524480221095958</v>
      </c>
      <c r="BA38" s="1">
        <f t="shared" si="74"/>
        <v>-0.25837686199340182</v>
      </c>
      <c r="BB38" s="1">
        <f t="shared" ref="BB38:BY38" si="75">IF(AD38&gt;=1,1,0)</f>
        <v>1</v>
      </c>
      <c r="BC38" s="1">
        <f t="shared" si="75"/>
        <v>1</v>
      </c>
      <c r="BD38" s="1">
        <f t="shared" si="75"/>
        <v>0</v>
      </c>
      <c r="BE38" s="1">
        <f t="shared" si="75"/>
        <v>0</v>
      </c>
      <c r="BF38" s="1">
        <f t="shared" si="75"/>
        <v>0</v>
      </c>
      <c r="BG38" s="1">
        <f t="shared" si="75"/>
        <v>0</v>
      </c>
      <c r="BH38" s="1">
        <f t="shared" si="75"/>
        <v>0</v>
      </c>
      <c r="BI38" s="1">
        <f t="shared" si="75"/>
        <v>0</v>
      </c>
      <c r="BJ38" s="1">
        <f t="shared" si="75"/>
        <v>0</v>
      </c>
      <c r="BK38" s="1">
        <f t="shared" si="75"/>
        <v>1</v>
      </c>
      <c r="BL38" s="1">
        <f t="shared" si="75"/>
        <v>1</v>
      </c>
      <c r="BM38" s="1">
        <f t="shared" si="75"/>
        <v>0</v>
      </c>
      <c r="BN38" s="1">
        <f t="shared" si="75"/>
        <v>0</v>
      </c>
      <c r="BO38" s="1">
        <f t="shared" si="75"/>
        <v>0</v>
      </c>
      <c r="BP38" s="1">
        <f t="shared" si="75"/>
        <v>0</v>
      </c>
      <c r="BQ38" s="1">
        <f t="shared" si="75"/>
        <v>0</v>
      </c>
      <c r="BR38" s="1">
        <f t="shared" si="75"/>
        <v>0</v>
      </c>
      <c r="BS38" s="1">
        <f t="shared" si="75"/>
        <v>0</v>
      </c>
      <c r="BT38" s="1">
        <f t="shared" si="75"/>
        <v>0</v>
      </c>
      <c r="BU38" s="1">
        <f t="shared" si="75"/>
        <v>0</v>
      </c>
      <c r="BV38" s="1">
        <f t="shared" si="75"/>
        <v>0</v>
      </c>
      <c r="BW38" s="1">
        <f t="shared" si="75"/>
        <v>0</v>
      </c>
      <c r="BX38" s="1">
        <f t="shared" si="75"/>
        <v>0</v>
      </c>
      <c r="BY38" s="1">
        <f t="shared" si="75"/>
        <v>0</v>
      </c>
    </row>
    <row r="39" spans="1:77" x14ac:dyDescent="0.25">
      <c r="A39" s="1" t="s">
        <v>117</v>
      </c>
      <c r="B39" s="1" t="s">
        <v>63</v>
      </c>
      <c r="C39" s="1" t="s">
        <v>64</v>
      </c>
      <c r="D39" s="1">
        <v>88963520</v>
      </c>
      <c r="E39" s="1">
        <v>87278240</v>
      </c>
      <c r="F39" s="1">
        <v>79241070</v>
      </c>
      <c r="G39" s="1">
        <v>82585520</v>
      </c>
      <c r="H39" s="1">
        <v>73603960</v>
      </c>
      <c r="I39" s="1">
        <v>84294370</v>
      </c>
      <c r="J39" s="1">
        <v>93340950</v>
      </c>
      <c r="K39" s="1">
        <v>86247460</v>
      </c>
      <c r="L39" s="1">
        <v>87819080</v>
      </c>
      <c r="M39" s="1">
        <v>124970660</v>
      </c>
      <c r="N39" s="1">
        <v>103077530</v>
      </c>
      <c r="O39" s="1">
        <v>100335420</v>
      </c>
      <c r="P39" s="1">
        <v>96715930</v>
      </c>
      <c r="Q39" s="1">
        <v>89615380</v>
      </c>
      <c r="R39" s="1">
        <v>82203460</v>
      </c>
      <c r="S39" s="1">
        <v>103984430</v>
      </c>
      <c r="T39" s="1">
        <v>95110380</v>
      </c>
      <c r="U39" s="1">
        <v>86858760</v>
      </c>
      <c r="V39" s="1">
        <v>79792140</v>
      </c>
      <c r="W39" s="1">
        <v>84385160</v>
      </c>
      <c r="X39" s="1">
        <v>96375790</v>
      </c>
      <c r="Y39" s="1">
        <v>130890530</v>
      </c>
      <c r="Z39" s="1">
        <v>104890700</v>
      </c>
      <c r="AA39" s="1">
        <v>100746950</v>
      </c>
      <c r="AB39" s="3">
        <f t="shared" si="0"/>
        <v>93471974.583333328</v>
      </c>
      <c r="AC39" s="1">
        <f t="shared" si="1"/>
        <v>13585963.004401373</v>
      </c>
      <c r="AD39" s="1">
        <f t="shared" ref="AD39:BA39" si="76">(D39-$AB39)/$AC39</f>
        <v>-0.33184652290549799</v>
      </c>
      <c r="AE39" s="1">
        <f t="shared" si="76"/>
        <v>-0.45589220148227821</v>
      </c>
      <c r="AF39" s="1">
        <f t="shared" si="76"/>
        <v>-1.0474711714379774</v>
      </c>
      <c r="AG39" s="1">
        <f t="shared" si="76"/>
        <v>-0.80130165081463134</v>
      </c>
      <c r="AH39" s="1">
        <f t="shared" si="76"/>
        <v>-1.4623928077013599</v>
      </c>
      <c r="AI39" s="1">
        <f t="shared" si="76"/>
        <v>-0.67552109337851929</v>
      </c>
      <c r="AJ39" s="1">
        <f t="shared" si="76"/>
        <v>-9.6441145387250807E-3</v>
      </c>
      <c r="AK39" s="1">
        <f t="shared" si="76"/>
        <v>-0.53176315738478319</v>
      </c>
      <c r="AL39" s="1">
        <f t="shared" si="76"/>
        <v>-0.41608346655308792</v>
      </c>
      <c r="AM39" s="1">
        <f t="shared" si="76"/>
        <v>2.3184727800644098</v>
      </c>
      <c r="AN39" s="1">
        <f t="shared" si="76"/>
        <v>0.70702057804476659</v>
      </c>
      <c r="AO39" s="1">
        <f t="shared" si="76"/>
        <v>0.50518652335820124</v>
      </c>
      <c r="AP39" s="1">
        <f t="shared" si="76"/>
        <v>0.23877257840432398</v>
      </c>
      <c r="AQ39" s="1">
        <f t="shared" si="76"/>
        <v>-0.283866118440329</v>
      </c>
      <c r="AR39" s="1">
        <f t="shared" si="76"/>
        <v>-0.82942332315219225</v>
      </c>
      <c r="AS39" s="1">
        <f t="shared" si="76"/>
        <v>0.77377329919572191</v>
      </c>
      <c r="AT39" s="1">
        <f t="shared" si="76"/>
        <v>0.12059545695331911</v>
      </c>
      <c r="AU39" s="1">
        <f t="shared" si="76"/>
        <v>-0.48676818722315673</v>
      </c>
      <c r="AV39" s="1">
        <f t="shared" si="76"/>
        <v>-1.0069094534485001</v>
      </c>
      <c r="AW39" s="1">
        <f t="shared" si="76"/>
        <v>-0.66883846072520003</v>
      </c>
      <c r="AX39" s="1">
        <f t="shared" si="76"/>
        <v>0.21373644369014827</v>
      </c>
      <c r="AY39" s="1">
        <f t="shared" si="76"/>
        <v>2.7542070742091953</v>
      </c>
      <c r="AZ39" s="1">
        <f t="shared" si="76"/>
        <v>0.84047964895586769</v>
      </c>
      <c r="BA39" s="1">
        <f t="shared" si="76"/>
        <v>0.53547734631029364</v>
      </c>
      <c r="BB39" s="1">
        <f t="shared" ref="BB39:BY39" si="77">IF(AD39&gt;=1,1,0)</f>
        <v>0</v>
      </c>
      <c r="BC39" s="1">
        <f t="shared" si="77"/>
        <v>0</v>
      </c>
      <c r="BD39" s="1">
        <f t="shared" si="77"/>
        <v>0</v>
      </c>
      <c r="BE39" s="1">
        <f t="shared" si="77"/>
        <v>0</v>
      </c>
      <c r="BF39" s="1">
        <f t="shared" si="77"/>
        <v>0</v>
      </c>
      <c r="BG39" s="1">
        <f t="shared" si="77"/>
        <v>0</v>
      </c>
      <c r="BH39" s="1">
        <f t="shared" si="77"/>
        <v>0</v>
      </c>
      <c r="BI39" s="1">
        <f t="shared" si="77"/>
        <v>0</v>
      </c>
      <c r="BJ39" s="1">
        <f t="shared" si="77"/>
        <v>0</v>
      </c>
      <c r="BK39" s="1">
        <f t="shared" si="77"/>
        <v>1</v>
      </c>
      <c r="BL39" s="1">
        <f t="shared" si="77"/>
        <v>0</v>
      </c>
      <c r="BM39" s="1">
        <f t="shared" si="77"/>
        <v>0</v>
      </c>
      <c r="BN39" s="1">
        <f t="shared" si="77"/>
        <v>0</v>
      </c>
      <c r="BO39" s="1">
        <f t="shared" si="77"/>
        <v>0</v>
      </c>
      <c r="BP39" s="1">
        <f t="shared" si="77"/>
        <v>0</v>
      </c>
      <c r="BQ39" s="1">
        <f t="shared" si="77"/>
        <v>0</v>
      </c>
      <c r="BR39" s="1">
        <f t="shared" si="77"/>
        <v>0</v>
      </c>
      <c r="BS39" s="1">
        <f t="shared" si="77"/>
        <v>0</v>
      </c>
      <c r="BT39" s="1">
        <f t="shared" si="77"/>
        <v>0</v>
      </c>
      <c r="BU39" s="1">
        <f t="shared" si="77"/>
        <v>0</v>
      </c>
      <c r="BV39" s="1">
        <f t="shared" si="77"/>
        <v>0</v>
      </c>
      <c r="BW39" s="1">
        <f t="shared" si="77"/>
        <v>1</v>
      </c>
      <c r="BX39" s="1">
        <f t="shared" si="77"/>
        <v>0</v>
      </c>
      <c r="BY39" s="1">
        <f t="shared" si="77"/>
        <v>0</v>
      </c>
    </row>
    <row r="42" spans="1:77" x14ac:dyDescent="0.25">
      <c r="A42" s="5"/>
    </row>
    <row r="43" spans="1:77" x14ac:dyDescent="0.25">
      <c r="A43" s="5"/>
    </row>
    <row r="44" spans="1:77" x14ac:dyDescent="0.25">
      <c r="A44" s="5"/>
    </row>
    <row r="45" spans="1:77" x14ac:dyDescent="0.25">
      <c r="A45" s="5"/>
    </row>
    <row r="46" spans="1:77" x14ac:dyDescent="0.25">
      <c r="A46" s="5"/>
    </row>
    <row r="47" spans="1:77" x14ac:dyDescent="0.25">
      <c r="A47" s="5"/>
    </row>
    <row r="48" spans="1:77" x14ac:dyDescent="0.25">
      <c r="A48" s="5"/>
    </row>
    <row r="49" spans="1:1" x14ac:dyDescent="0.25">
      <c r="A49" s="5"/>
    </row>
    <row r="50" spans="1:1" x14ac:dyDescent="0.25">
      <c r="A5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elenakazak28@outlook.com</cp:lastModifiedBy>
  <dcterms:modified xsi:type="dcterms:W3CDTF">2026-08-20T04:29:55Z</dcterms:modified>
</cp:coreProperties>
</file>