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lena\Desktop\L&amp;D\1. Media peaks search response\dataset\"/>
    </mc:Choice>
  </mc:AlternateContent>
  <xr:revisionPtr revIDLastSave="0" documentId="13_ncr:1_{0F3A9FF7-8A20-45C3-98A8-F227E6E99D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itoring_freq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39" i="1" l="1"/>
  <c r="BT39" i="1" s="1"/>
  <c r="AC39" i="1"/>
  <c r="AB39" i="1"/>
  <c r="BU38" i="1"/>
  <c r="BK38" i="1"/>
  <c r="BH38" i="1"/>
  <c r="AX38" i="1"/>
  <c r="BV38" i="1" s="1"/>
  <c r="AW38" i="1"/>
  <c r="AV38" i="1"/>
  <c r="BT38" i="1" s="1"/>
  <c r="AU38" i="1"/>
  <c r="BS38" i="1" s="1"/>
  <c r="AO38" i="1"/>
  <c r="BM38" i="1" s="1"/>
  <c r="AM38" i="1"/>
  <c r="AJ38" i="1"/>
  <c r="AH38" i="1"/>
  <c r="BF38" i="1" s="1"/>
  <c r="AG38" i="1"/>
  <c r="BE38" i="1" s="1"/>
  <c r="AC38" i="1"/>
  <c r="AB38" i="1"/>
  <c r="BW37" i="1"/>
  <c r="BV37" i="1"/>
  <c r="AY37" i="1"/>
  <c r="AX37" i="1"/>
  <c r="AW37" i="1"/>
  <c r="BU37" i="1" s="1"/>
  <c r="AT37" i="1"/>
  <c r="BR37" i="1" s="1"/>
  <c r="AP37" i="1"/>
  <c r="BN37" i="1" s="1"/>
  <c r="AL37" i="1"/>
  <c r="BJ37" i="1" s="1"/>
  <c r="AJ37" i="1"/>
  <c r="BH37" i="1" s="1"/>
  <c r="AI37" i="1"/>
  <c r="BG37" i="1" s="1"/>
  <c r="AH37" i="1"/>
  <c r="BF37" i="1" s="1"/>
  <c r="AC37" i="1"/>
  <c r="AB37" i="1"/>
  <c r="AY36" i="1"/>
  <c r="BW36" i="1" s="1"/>
  <c r="AV36" i="1"/>
  <c r="BT36" i="1" s="1"/>
  <c r="AC36" i="1"/>
  <c r="AB36" i="1"/>
  <c r="BJ35" i="1"/>
  <c r="BI35" i="1"/>
  <c r="AT35" i="1"/>
  <c r="BR35" i="1" s="1"/>
  <c r="AN35" i="1"/>
  <c r="BL35" i="1" s="1"/>
  <c r="AL35" i="1"/>
  <c r="AK35" i="1"/>
  <c r="AC35" i="1"/>
  <c r="AX35" i="1" s="1"/>
  <c r="BV35" i="1" s="1"/>
  <c r="AB35" i="1"/>
  <c r="BV34" i="1"/>
  <c r="BU34" i="1"/>
  <c r="BT34" i="1"/>
  <c r="BK34" i="1"/>
  <c r="AX34" i="1"/>
  <c r="AW34" i="1"/>
  <c r="AV34" i="1"/>
  <c r="AU34" i="1"/>
  <c r="BS34" i="1" s="1"/>
  <c r="AO34" i="1"/>
  <c r="BM34" i="1" s="1"/>
  <c r="AM34" i="1"/>
  <c r="AJ34" i="1"/>
  <c r="BH34" i="1" s="1"/>
  <c r="AH34" i="1"/>
  <c r="BF34" i="1" s="1"/>
  <c r="AG34" i="1"/>
  <c r="BE34" i="1" s="1"/>
  <c r="AC34" i="1"/>
  <c r="AB34" i="1"/>
  <c r="BW33" i="1"/>
  <c r="BJ33" i="1"/>
  <c r="AY33" i="1"/>
  <c r="AX33" i="1"/>
  <c r="BV33" i="1" s="1"/>
  <c r="AW33" i="1"/>
  <c r="BU33" i="1" s="1"/>
  <c r="AT33" i="1"/>
  <c r="BR33" i="1" s="1"/>
  <c r="AP33" i="1"/>
  <c r="BN33" i="1" s="1"/>
  <c r="AL33" i="1"/>
  <c r="AJ33" i="1"/>
  <c r="BH33" i="1" s="1"/>
  <c r="AI33" i="1"/>
  <c r="BG33" i="1" s="1"/>
  <c r="AH33" i="1"/>
  <c r="BF33" i="1" s="1"/>
  <c r="AC33" i="1"/>
  <c r="AB33" i="1"/>
  <c r="BI32" i="1"/>
  <c r="BH32" i="1"/>
  <c r="AV32" i="1"/>
  <c r="BT32" i="1" s="1"/>
  <c r="AQ32" i="1"/>
  <c r="BO32" i="1" s="1"/>
  <c r="AL32" i="1"/>
  <c r="BJ32" i="1" s="1"/>
  <c r="AK32" i="1"/>
  <c r="AJ32" i="1"/>
  <c r="AC32" i="1"/>
  <c r="AZ32" i="1" s="1"/>
  <c r="BX32" i="1" s="1"/>
  <c r="AB32" i="1"/>
  <c r="AC31" i="1"/>
  <c r="AX31" i="1" s="1"/>
  <c r="BV31" i="1" s="1"/>
  <c r="AB31" i="1"/>
  <c r="BU30" i="1"/>
  <c r="BH30" i="1"/>
  <c r="AX30" i="1"/>
  <c r="BV30" i="1" s="1"/>
  <c r="AW30" i="1"/>
  <c r="AV30" i="1"/>
  <c r="BT30" i="1" s="1"/>
  <c r="AU30" i="1"/>
  <c r="BS30" i="1" s="1"/>
  <c r="AO30" i="1"/>
  <c r="BM30" i="1" s="1"/>
  <c r="AM30" i="1"/>
  <c r="BK30" i="1" s="1"/>
  <c r="AJ30" i="1"/>
  <c r="AH30" i="1"/>
  <c r="BF30" i="1" s="1"/>
  <c r="AG30" i="1"/>
  <c r="BE30" i="1" s="1"/>
  <c r="AC30" i="1"/>
  <c r="AB30" i="1"/>
  <c r="BV29" i="1"/>
  <c r="AY29" i="1"/>
  <c r="BW29" i="1" s="1"/>
  <c r="AX29" i="1"/>
  <c r="AW29" i="1"/>
  <c r="BU29" i="1" s="1"/>
  <c r="AT29" i="1"/>
  <c r="BR29" i="1" s="1"/>
  <c r="AP29" i="1"/>
  <c r="BN29" i="1" s="1"/>
  <c r="AL29" i="1"/>
  <c r="BJ29" i="1" s="1"/>
  <c r="AJ29" i="1"/>
  <c r="BH29" i="1" s="1"/>
  <c r="AI29" i="1"/>
  <c r="BG29" i="1" s="1"/>
  <c r="AH29" i="1"/>
  <c r="BF29" i="1" s="1"/>
  <c r="AC29" i="1"/>
  <c r="AB29" i="1"/>
  <c r="AC28" i="1"/>
  <c r="AY28" i="1" s="1"/>
  <c r="BW28" i="1" s="1"/>
  <c r="AB28" i="1"/>
  <c r="AT27" i="1"/>
  <c r="BR27" i="1" s="1"/>
  <c r="AN27" i="1"/>
  <c r="BL27" i="1" s="1"/>
  <c r="AL27" i="1"/>
  <c r="BJ27" i="1" s="1"/>
  <c r="AK27" i="1"/>
  <c r="BI27" i="1" s="1"/>
  <c r="AC27" i="1"/>
  <c r="AU27" i="1" s="1"/>
  <c r="BS27" i="1" s="1"/>
  <c r="AB27" i="1"/>
  <c r="BT26" i="1"/>
  <c r="BK26" i="1"/>
  <c r="AX26" i="1"/>
  <c r="BV26" i="1" s="1"/>
  <c r="AW26" i="1"/>
  <c r="BU26" i="1" s="1"/>
  <c r="AV26" i="1"/>
  <c r="AU26" i="1"/>
  <c r="BS26" i="1" s="1"/>
  <c r="AO26" i="1"/>
  <c r="BM26" i="1" s="1"/>
  <c r="AM26" i="1"/>
  <c r="AJ26" i="1"/>
  <c r="BH26" i="1" s="1"/>
  <c r="AH26" i="1"/>
  <c r="BF26" i="1" s="1"/>
  <c r="AG26" i="1"/>
  <c r="BE26" i="1" s="1"/>
  <c r="AC26" i="1"/>
  <c r="AB26" i="1"/>
  <c r="BW25" i="1"/>
  <c r="BJ25" i="1"/>
  <c r="AY25" i="1"/>
  <c r="AX25" i="1"/>
  <c r="BV25" i="1" s="1"/>
  <c r="AW25" i="1"/>
  <c r="BU25" i="1" s="1"/>
  <c r="AT25" i="1"/>
  <c r="BR25" i="1" s="1"/>
  <c r="AP25" i="1"/>
  <c r="BN25" i="1" s="1"/>
  <c r="AL25" i="1"/>
  <c r="AJ25" i="1"/>
  <c r="BH25" i="1" s="1"/>
  <c r="AI25" i="1"/>
  <c r="BG25" i="1" s="1"/>
  <c r="AH25" i="1"/>
  <c r="BF25" i="1" s="1"/>
  <c r="AC25" i="1"/>
  <c r="AB25" i="1"/>
  <c r="BX24" i="1"/>
  <c r="BH24" i="1"/>
  <c r="AV24" i="1"/>
  <c r="BT24" i="1" s="1"/>
  <c r="AQ24" i="1"/>
  <c r="BO24" i="1" s="1"/>
  <c r="AL24" i="1"/>
  <c r="BJ24" i="1" s="1"/>
  <c r="AK24" i="1"/>
  <c r="BI24" i="1" s="1"/>
  <c r="AJ24" i="1"/>
  <c r="AC24" i="1"/>
  <c r="AZ24" i="1" s="1"/>
  <c r="AB24" i="1"/>
  <c r="AC23" i="1"/>
  <c r="AF23" i="1" s="1"/>
  <c r="BD23" i="1" s="1"/>
  <c r="AB23" i="1"/>
  <c r="BV22" i="1"/>
  <c r="BL22" i="1"/>
  <c r="AY22" i="1"/>
  <c r="BW22" i="1" s="1"/>
  <c r="AX22" i="1"/>
  <c r="AW22" i="1"/>
  <c r="BU22" i="1" s="1"/>
  <c r="AV22" i="1"/>
  <c r="BT22" i="1" s="1"/>
  <c r="AS22" i="1"/>
  <c r="BQ22" i="1" s="1"/>
  <c r="AQ22" i="1"/>
  <c r="BO22" i="1" s="1"/>
  <c r="AO22" i="1"/>
  <c r="BM22" i="1" s="1"/>
  <c r="AN22" i="1"/>
  <c r="AK22" i="1"/>
  <c r="BI22" i="1" s="1"/>
  <c r="AI22" i="1"/>
  <c r="BG22" i="1" s="1"/>
  <c r="AH22" i="1"/>
  <c r="BF22" i="1" s="1"/>
  <c r="AG22" i="1"/>
  <c r="BE22" i="1" s="1"/>
  <c r="AF22" i="1"/>
  <c r="BD22" i="1" s="1"/>
  <c r="AC22" i="1"/>
  <c r="AP22" i="1" s="1"/>
  <c r="BN22" i="1" s="1"/>
  <c r="AB22" i="1"/>
  <c r="BV21" i="1"/>
  <c r="BS21" i="1"/>
  <c r="BH21" i="1"/>
  <c r="AZ21" i="1"/>
  <c r="BX21" i="1" s="1"/>
  <c r="AX21" i="1"/>
  <c r="AU21" i="1"/>
  <c r="AS21" i="1"/>
  <c r="BQ21" i="1" s="1"/>
  <c r="AR21" i="1"/>
  <c r="BP21" i="1" s="1"/>
  <c r="AM21" i="1"/>
  <c r="BK21" i="1" s="1"/>
  <c r="AJ21" i="1"/>
  <c r="AI21" i="1"/>
  <c r="BG21" i="1" s="1"/>
  <c r="AH21" i="1"/>
  <c r="BF21" i="1" s="1"/>
  <c r="AE21" i="1"/>
  <c r="BC21" i="1" s="1"/>
  <c r="AC21" i="1"/>
  <c r="AB21" i="1"/>
  <c r="AY21" i="1" s="1"/>
  <c r="BW21" i="1" s="1"/>
  <c r="BS20" i="1"/>
  <c r="BR20" i="1"/>
  <c r="BQ20" i="1"/>
  <c r="BH20" i="1"/>
  <c r="BE20" i="1"/>
  <c r="AZ20" i="1"/>
  <c r="BX20" i="1" s="1"/>
  <c r="AU20" i="1"/>
  <c r="AT20" i="1"/>
  <c r="AS20" i="1"/>
  <c r="AR20" i="1"/>
  <c r="BP20" i="1" s="1"/>
  <c r="AL20" i="1"/>
  <c r="BJ20" i="1" s="1"/>
  <c r="AJ20" i="1"/>
  <c r="AG20" i="1"/>
  <c r="AE20" i="1"/>
  <c r="BC20" i="1" s="1"/>
  <c r="AD20" i="1"/>
  <c r="BB20" i="1" s="1"/>
  <c r="AC20" i="1"/>
  <c r="AB20" i="1"/>
  <c r="AW20" i="1" s="1"/>
  <c r="BU20" i="1" s="1"/>
  <c r="BW19" i="1"/>
  <c r="BT19" i="1"/>
  <c r="BS19" i="1"/>
  <c r="BL19" i="1"/>
  <c r="BK19" i="1"/>
  <c r="BG19" i="1"/>
  <c r="BE19" i="1"/>
  <c r="BD19" i="1"/>
  <c r="BC19" i="1"/>
  <c r="AY19" i="1"/>
  <c r="AW19" i="1"/>
  <c r="BU19" i="1" s="1"/>
  <c r="AV19" i="1"/>
  <c r="AU19" i="1"/>
  <c r="AT19" i="1"/>
  <c r="BR19" i="1" s="1"/>
  <c r="AQ19" i="1"/>
  <c r="BO19" i="1" s="1"/>
  <c r="AO19" i="1"/>
  <c r="BM19" i="1" s="1"/>
  <c r="AN19" i="1"/>
  <c r="AM19" i="1"/>
  <c r="AL19" i="1"/>
  <c r="BJ19" i="1" s="1"/>
  <c r="AI19" i="1"/>
  <c r="AG19" i="1"/>
  <c r="AF19" i="1"/>
  <c r="AE19" i="1"/>
  <c r="AD19" i="1"/>
  <c r="BB19" i="1" s="1"/>
  <c r="AC19" i="1"/>
  <c r="AB19" i="1"/>
  <c r="BA19" i="1" s="1"/>
  <c r="BY19" i="1" s="1"/>
  <c r="BY18" i="1"/>
  <c r="BU18" i="1"/>
  <c r="BM18" i="1"/>
  <c r="BI18" i="1"/>
  <c r="BG18" i="1"/>
  <c r="BA18" i="1"/>
  <c r="AY18" i="1"/>
  <c r="BW18" i="1" s="1"/>
  <c r="AW18" i="1"/>
  <c r="AV18" i="1"/>
  <c r="BT18" i="1" s="1"/>
  <c r="AS18" i="1"/>
  <c r="BQ18" i="1" s="1"/>
  <c r="AQ18" i="1"/>
  <c r="BO18" i="1" s="1"/>
  <c r="AO18" i="1"/>
  <c r="AN18" i="1"/>
  <c r="BL18" i="1" s="1"/>
  <c r="AK18" i="1"/>
  <c r="AI18" i="1"/>
  <c r="AH18" i="1"/>
  <c r="BF18" i="1" s="1"/>
  <c r="AG18" i="1"/>
  <c r="BE18" i="1" s="1"/>
  <c r="AF18" i="1"/>
  <c r="BD18" i="1" s="1"/>
  <c r="AC18" i="1"/>
  <c r="AP18" i="1" s="1"/>
  <c r="BN18" i="1" s="1"/>
  <c r="AB18" i="1"/>
  <c r="AU18" i="1" s="1"/>
  <c r="BS18" i="1" s="1"/>
  <c r="BV17" i="1"/>
  <c r="BS17" i="1"/>
  <c r="BH17" i="1"/>
  <c r="AZ17" i="1"/>
  <c r="BX17" i="1" s="1"/>
  <c r="AX17" i="1"/>
  <c r="AU17" i="1"/>
  <c r="AS17" i="1"/>
  <c r="BQ17" i="1" s="1"/>
  <c r="AR17" i="1"/>
  <c r="BP17" i="1" s="1"/>
  <c r="AM17" i="1"/>
  <c r="BK17" i="1" s="1"/>
  <c r="AJ17" i="1"/>
  <c r="AI17" i="1"/>
  <c r="BG17" i="1" s="1"/>
  <c r="AH17" i="1"/>
  <c r="BF17" i="1" s="1"/>
  <c r="AE17" i="1"/>
  <c r="BC17" i="1" s="1"/>
  <c r="AC17" i="1"/>
  <c r="AB17" i="1"/>
  <c r="AY17" i="1" s="1"/>
  <c r="BW17" i="1" s="1"/>
  <c r="BS16" i="1"/>
  <c r="BR16" i="1"/>
  <c r="BQ16" i="1"/>
  <c r="BH16" i="1"/>
  <c r="BE16" i="1"/>
  <c r="AZ16" i="1"/>
  <c r="BX16" i="1" s="1"/>
  <c r="AU16" i="1"/>
  <c r="AT16" i="1"/>
  <c r="AS16" i="1"/>
  <c r="AR16" i="1"/>
  <c r="BP16" i="1" s="1"/>
  <c r="AL16" i="1"/>
  <c r="BJ16" i="1" s="1"/>
  <c r="AJ16" i="1"/>
  <c r="AG16" i="1"/>
  <c r="AE16" i="1"/>
  <c r="BC16" i="1" s="1"/>
  <c r="AD16" i="1"/>
  <c r="BB16" i="1" s="1"/>
  <c r="AC16" i="1"/>
  <c r="AB16" i="1"/>
  <c r="AW16" i="1" s="1"/>
  <c r="BU16" i="1" s="1"/>
  <c r="BW15" i="1"/>
  <c r="BT15" i="1"/>
  <c r="BS15" i="1"/>
  <c r="BL15" i="1"/>
  <c r="BK15" i="1"/>
  <c r="BG15" i="1"/>
  <c r="BE15" i="1"/>
  <c r="BD15" i="1"/>
  <c r="BC15" i="1"/>
  <c r="AY15" i="1"/>
  <c r="AW15" i="1"/>
  <c r="BU15" i="1" s="1"/>
  <c r="AV15" i="1"/>
  <c r="AU15" i="1"/>
  <c r="AT15" i="1"/>
  <c r="BR15" i="1" s="1"/>
  <c r="AQ15" i="1"/>
  <c r="BO15" i="1" s="1"/>
  <c r="AO15" i="1"/>
  <c r="BM15" i="1" s="1"/>
  <c r="AN15" i="1"/>
  <c r="AM15" i="1"/>
  <c r="AL15" i="1"/>
  <c r="BJ15" i="1" s="1"/>
  <c r="AI15" i="1"/>
  <c r="AG15" i="1"/>
  <c r="AF15" i="1"/>
  <c r="AE15" i="1"/>
  <c r="AD15" i="1"/>
  <c r="BB15" i="1" s="1"/>
  <c r="AC15" i="1"/>
  <c r="AB15" i="1"/>
  <c r="BA15" i="1" s="1"/>
  <c r="BY15" i="1" s="1"/>
  <c r="BY14" i="1"/>
  <c r="BU14" i="1"/>
  <c r="BM14" i="1"/>
  <c r="BG14" i="1"/>
  <c r="BF14" i="1"/>
  <c r="BE14" i="1"/>
  <c r="BA14" i="1"/>
  <c r="AY14" i="1"/>
  <c r="BW14" i="1" s="1"/>
  <c r="AW14" i="1"/>
  <c r="AV14" i="1"/>
  <c r="BT14" i="1" s="1"/>
  <c r="AS14" i="1"/>
  <c r="BQ14" i="1" s="1"/>
  <c r="AQ14" i="1"/>
  <c r="BO14" i="1" s="1"/>
  <c r="AO14" i="1"/>
  <c r="AN14" i="1"/>
  <c r="BL14" i="1" s="1"/>
  <c r="AI14" i="1"/>
  <c r="AH14" i="1"/>
  <c r="AG14" i="1"/>
  <c r="AF14" i="1"/>
  <c r="BD14" i="1" s="1"/>
  <c r="AC14" i="1"/>
  <c r="AP14" i="1" s="1"/>
  <c r="BN14" i="1" s="1"/>
  <c r="AB14" i="1"/>
  <c r="AU14" i="1" s="1"/>
  <c r="BS14" i="1" s="1"/>
  <c r="BV13" i="1"/>
  <c r="BH13" i="1"/>
  <c r="AZ13" i="1"/>
  <c r="BX13" i="1" s="1"/>
  <c r="AX13" i="1"/>
  <c r="AU13" i="1"/>
  <c r="BS13" i="1" s="1"/>
  <c r="AS13" i="1"/>
  <c r="BQ13" i="1" s="1"/>
  <c r="AR13" i="1"/>
  <c r="BP13" i="1" s="1"/>
  <c r="AM13" i="1"/>
  <c r="BK13" i="1" s="1"/>
  <c r="AJ13" i="1"/>
  <c r="AI13" i="1"/>
  <c r="BG13" i="1" s="1"/>
  <c r="AH13" i="1"/>
  <c r="BF13" i="1" s="1"/>
  <c r="AE13" i="1"/>
  <c r="BC13" i="1" s="1"/>
  <c r="AC13" i="1"/>
  <c r="AB13" i="1"/>
  <c r="AY13" i="1" s="1"/>
  <c r="BW13" i="1" s="1"/>
  <c r="BS12" i="1"/>
  <c r="BR12" i="1"/>
  <c r="BH12" i="1"/>
  <c r="AZ12" i="1"/>
  <c r="BX12" i="1" s="1"/>
  <c r="AU12" i="1"/>
  <c r="AT12" i="1"/>
  <c r="AS12" i="1"/>
  <c r="BQ12" i="1" s="1"/>
  <c r="AR12" i="1"/>
  <c r="BP12" i="1" s="1"/>
  <c r="AL12" i="1"/>
  <c r="BJ12" i="1" s="1"/>
  <c r="AJ12" i="1"/>
  <c r="AG12" i="1"/>
  <c r="BE12" i="1" s="1"/>
  <c r="AE12" i="1"/>
  <c r="BC12" i="1" s="1"/>
  <c r="AD12" i="1"/>
  <c r="BB12" i="1" s="1"/>
  <c r="AC12" i="1"/>
  <c r="AB12" i="1"/>
  <c r="AW12" i="1" s="1"/>
  <c r="BU12" i="1" s="1"/>
  <c r="BW11" i="1"/>
  <c r="BT11" i="1"/>
  <c r="BS11" i="1"/>
  <c r="BR11" i="1"/>
  <c r="BO11" i="1"/>
  <c r="BL11" i="1"/>
  <c r="BK11" i="1"/>
  <c r="BG11" i="1"/>
  <c r="BE11" i="1"/>
  <c r="BD11" i="1"/>
  <c r="BC11" i="1"/>
  <c r="AY11" i="1"/>
  <c r="AW11" i="1"/>
  <c r="BU11" i="1" s="1"/>
  <c r="AV11" i="1"/>
  <c r="AU11" i="1"/>
  <c r="AT11" i="1"/>
  <c r="AQ11" i="1"/>
  <c r="AO11" i="1"/>
  <c r="BM11" i="1" s="1"/>
  <c r="AN11" i="1"/>
  <c r="AM11" i="1"/>
  <c r="AL11" i="1"/>
  <c r="BJ11" i="1" s="1"/>
  <c r="AI11" i="1"/>
  <c r="AG11" i="1"/>
  <c r="AF11" i="1"/>
  <c r="AE11" i="1"/>
  <c r="AD11" i="1"/>
  <c r="BB11" i="1" s="1"/>
  <c r="AC11" i="1"/>
  <c r="AB11" i="1"/>
  <c r="BA11" i="1" s="1"/>
  <c r="BY11" i="1" s="1"/>
  <c r="BU10" i="1"/>
  <c r="BF10" i="1"/>
  <c r="AX10" i="1"/>
  <c r="BV10" i="1" s="1"/>
  <c r="AW10" i="1"/>
  <c r="AV10" i="1"/>
  <c r="BT10" i="1" s="1"/>
  <c r="AU10" i="1"/>
  <c r="BS10" i="1" s="1"/>
  <c r="AP10" i="1"/>
  <c r="BN10" i="1" s="1"/>
  <c r="AO10" i="1"/>
  <c r="BM10" i="1" s="1"/>
  <c r="AN10" i="1"/>
  <c r="BL10" i="1" s="1"/>
  <c r="AM10" i="1"/>
  <c r="BK10" i="1" s="1"/>
  <c r="AH10" i="1"/>
  <c r="AG10" i="1"/>
  <c r="BE10" i="1" s="1"/>
  <c r="AF10" i="1"/>
  <c r="BD10" i="1" s="1"/>
  <c r="AE10" i="1"/>
  <c r="BC10" i="1" s="1"/>
  <c r="AC10" i="1"/>
  <c r="AB10" i="1"/>
  <c r="AZ10" i="1" s="1"/>
  <c r="BX10" i="1" s="1"/>
  <c r="BN9" i="1"/>
  <c r="BM9" i="1"/>
  <c r="BF9" i="1"/>
  <c r="AY9" i="1"/>
  <c r="BW9" i="1" s="1"/>
  <c r="AX9" i="1"/>
  <c r="BV9" i="1" s="1"/>
  <c r="AW9" i="1"/>
  <c r="BU9" i="1" s="1"/>
  <c r="AQ9" i="1"/>
  <c r="BO9" i="1" s="1"/>
  <c r="AP9" i="1"/>
  <c r="AO9" i="1"/>
  <c r="AI9" i="1"/>
  <c r="BG9" i="1" s="1"/>
  <c r="AH9" i="1"/>
  <c r="AG9" i="1"/>
  <c r="BE9" i="1" s="1"/>
  <c r="AC9" i="1"/>
  <c r="AB9" i="1"/>
  <c r="AV9" i="1" s="1"/>
  <c r="BT9" i="1" s="1"/>
  <c r="AR8" i="1"/>
  <c r="BP8" i="1" s="1"/>
  <c r="AQ8" i="1"/>
  <c r="BO8" i="1" s="1"/>
  <c r="AK8" i="1"/>
  <c r="BI8" i="1" s="1"/>
  <c r="AJ8" i="1"/>
  <c r="BH8" i="1" s="1"/>
  <c r="AC8" i="1"/>
  <c r="AB8" i="1"/>
  <c r="AZ8" i="1" s="1"/>
  <c r="BX8" i="1" s="1"/>
  <c r="AT7" i="1"/>
  <c r="BR7" i="1" s="1"/>
  <c r="AS7" i="1"/>
  <c r="BQ7" i="1" s="1"/>
  <c r="AC7" i="1"/>
  <c r="AB7" i="1"/>
  <c r="AZ7" i="1" s="1"/>
  <c r="BX7" i="1" s="1"/>
  <c r="BU6" i="1"/>
  <c r="BS6" i="1"/>
  <c r="BE6" i="1"/>
  <c r="BD6" i="1"/>
  <c r="BC6" i="1"/>
  <c r="AX6" i="1"/>
  <c r="BV6" i="1" s="1"/>
  <c r="AW6" i="1"/>
  <c r="AV6" i="1"/>
  <c r="BT6" i="1" s="1"/>
  <c r="AU6" i="1"/>
  <c r="AP6" i="1"/>
  <c r="BN6" i="1" s="1"/>
  <c r="AO6" i="1"/>
  <c r="BM6" i="1" s="1"/>
  <c r="AN6" i="1"/>
  <c r="BL6" i="1" s="1"/>
  <c r="AM6" i="1"/>
  <c r="BK6" i="1" s="1"/>
  <c r="AH6" i="1"/>
  <c r="BF6" i="1" s="1"/>
  <c r="AG6" i="1"/>
  <c r="AF6" i="1"/>
  <c r="AE6" i="1"/>
  <c r="AC6" i="1"/>
  <c r="AB6" i="1"/>
  <c r="AT6" i="1" s="1"/>
  <c r="BR6" i="1" s="1"/>
  <c r="BV5" i="1"/>
  <c r="BN5" i="1"/>
  <c r="AY5" i="1"/>
  <c r="BW5" i="1" s="1"/>
  <c r="AX5" i="1"/>
  <c r="AW5" i="1"/>
  <c r="BU5" i="1" s="1"/>
  <c r="AQ5" i="1"/>
  <c r="BO5" i="1" s="1"/>
  <c r="AP5" i="1"/>
  <c r="AO5" i="1"/>
  <c r="BM5" i="1" s="1"/>
  <c r="AI5" i="1"/>
  <c r="BG5" i="1" s="1"/>
  <c r="AH5" i="1"/>
  <c r="BF5" i="1" s="1"/>
  <c r="AG5" i="1"/>
  <c r="BE5" i="1" s="1"/>
  <c r="AC5" i="1"/>
  <c r="AB5" i="1"/>
  <c r="AV5" i="1" s="1"/>
  <c r="BT5" i="1" s="1"/>
  <c r="AS4" i="1"/>
  <c r="BQ4" i="1" s="1"/>
  <c r="AR4" i="1"/>
  <c r="BP4" i="1" s="1"/>
  <c r="AC4" i="1"/>
  <c r="AB4" i="1"/>
  <c r="AK4" i="1" s="1"/>
  <c r="BI4" i="1" s="1"/>
  <c r="BA3" i="1"/>
  <c r="BY3" i="1" s="1"/>
  <c r="AS3" i="1"/>
  <c r="BQ3" i="1" s="1"/>
  <c r="AL3" i="1"/>
  <c r="BJ3" i="1" s="1"/>
  <c r="AK3" i="1"/>
  <c r="BI3" i="1" s="1"/>
  <c r="AE3" i="1"/>
  <c r="BC3" i="1" s="1"/>
  <c r="AD3" i="1"/>
  <c r="BB3" i="1" s="1"/>
  <c r="AC3" i="1"/>
  <c r="AT3" i="1" s="1"/>
  <c r="BR3" i="1" s="1"/>
  <c r="AB3" i="1"/>
  <c r="BM2" i="1"/>
  <c r="BL2" i="1"/>
  <c r="BK2" i="1"/>
  <c r="AX2" i="1"/>
  <c r="BV2" i="1" s="1"/>
  <c r="AW2" i="1"/>
  <c r="BU2" i="1" s="1"/>
  <c r="AV2" i="1"/>
  <c r="BT2" i="1" s="1"/>
  <c r="AU2" i="1"/>
  <c r="BS2" i="1" s="1"/>
  <c r="AP2" i="1"/>
  <c r="BN2" i="1" s="1"/>
  <c r="AO2" i="1"/>
  <c r="AN2" i="1"/>
  <c r="AM2" i="1"/>
  <c r="AH2" i="1"/>
  <c r="BF2" i="1" s="1"/>
  <c r="AG2" i="1"/>
  <c r="BE2" i="1" s="1"/>
  <c r="AF2" i="1"/>
  <c r="BD2" i="1" s="1"/>
  <c r="AE2" i="1"/>
  <c r="BC2" i="1" s="1"/>
  <c r="AC2" i="1"/>
  <c r="AB2" i="1"/>
  <c r="AT2" i="1" s="1"/>
  <c r="BR2" i="1" s="1"/>
  <c r="AF31" i="1" l="1"/>
  <c r="BD31" i="1" s="1"/>
  <c r="AX7" i="1"/>
  <c r="BV7" i="1" s="1"/>
  <c r="AH7" i="1"/>
  <c r="BF7" i="1" s="1"/>
  <c r="AN7" i="1"/>
  <c r="BL7" i="1" s="1"/>
  <c r="AY7" i="1"/>
  <c r="BW7" i="1" s="1"/>
  <c r="AQ7" i="1"/>
  <c r="BO7" i="1" s="1"/>
  <c r="AI7" i="1"/>
  <c r="BG7" i="1" s="1"/>
  <c r="AP7" i="1"/>
  <c r="BN7" i="1" s="1"/>
  <c r="AV7" i="1"/>
  <c r="BT7" i="1" s="1"/>
  <c r="AF7" i="1"/>
  <c r="BD7" i="1" s="1"/>
  <c r="AY39" i="1"/>
  <c r="BW39" i="1" s="1"/>
  <c r="AQ39" i="1"/>
  <c r="BO39" i="1" s="1"/>
  <c r="AI39" i="1"/>
  <c r="BG39" i="1" s="1"/>
  <c r="AS39" i="1"/>
  <c r="BQ39" i="1" s="1"/>
  <c r="AE39" i="1"/>
  <c r="BC39" i="1" s="1"/>
  <c r="AP39" i="1"/>
  <c r="BN39" i="1" s="1"/>
  <c r="AD39" i="1"/>
  <c r="BB39" i="1" s="1"/>
  <c r="BA39" i="1"/>
  <c r="BY39" i="1" s="1"/>
  <c r="AM39" i="1"/>
  <c r="BK39" i="1" s="1"/>
  <c r="AT39" i="1"/>
  <c r="BR39" i="1" s="1"/>
  <c r="AN39" i="1"/>
  <c r="BL39" i="1" s="1"/>
  <c r="AL39" i="1"/>
  <c r="BJ39" i="1" s="1"/>
  <c r="AF39" i="1"/>
  <c r="BD39" i="1" s="1"/>
  <c r="AK39" i="1"/>
  <c r="BI39" i="1" s="1"/>
  <c r="AH39" i="1"/>
  <c r="BF39" i="1" s="1"/>
  <c r="AX39" i="1"/>
  <c r="BV39" i="1" s="1"/>
  <c r="AM3" i="1"/>
  <c r="BK3" i="1" s="1"/>
  <c r="AI4" i="1"/>
  <c r="BG4" i="1" s="1"/>
  <c r="BA4" i="1"/>
  <c r="BY4" i="1" s="1"/>
  <c r="AE7" i="1"/>
  <c r="BC7" i="1" s="1"/>
  <c r="AS8" i="1"/>
  <c r="BQ8" i="1" s="1"/>
  <c r="AU39" i="1"/>
  <c r="BS39" i="1" s="1"/>
  <c r="AS31" i="1"/>
  <c r="BQ31" i="1" s="1"/>
  <c r="AE31" i="1"/>
  <c r="BC31" i="1" s="1"/>
  <c r="AP31" i="1"/>
  <c r="BN31" i="1" s="1"/>
  <c r="AD31" i="1"/>
  <c r="BB31" i="1" s="1"/>
  <c r="BA31" i="1"/>
  <c r="BY31" i="1" s="1"/>
  <c r="AM31" i="1"/>
  <c r="BK31" i="1" s="1"/>
  <c r="AT31" i="1"/>
  <c r="BR31" i="1" s="1"/>
  <c r="AN31" i="1"/>
  <c r="BL31" i="1" s="1"/>
  <c r="AL31" i="1"/>
  <c r="BJ31" i="1" s="1"/>
  <c r="AK31" i="1"/>
  <c r="BI31" i="1" s="1"/>
  <c r="AH31" i="1"/>
  <c r="BF31" i="1" s="1"/>
  <c r="AQ28" i="1"/>
  <c r="BO28" i="1" s="1"/>
  <c r="AK28" i="1"/>
  <c r="BI28" i="1" s="1"/>
  <c r="AL28" i="1"/>
  <c r="BJ28" i="1" s="1"/>
  <c r="AJ28" i="1"/>
  <c r="BH28" i="1" s="1"/>
  <c r="AZ28" i="1"/>
  <c r="BX28" i="1" s="1"/>
  <c r="AI28" i="1"/>
  <c r="BG28" i="1" s="1"/>
  <c r="AY4" i="1"/>
  <c r="BW4" i="1" s="1"/>
  <c r="AU7" i="1"/>
  <c r="BS7" i="1" s="1"/>
  <c r="AD7" i="1"/>
  <c r="BB7" i="1" s="1"/>
  <c r="AS23" i="1"/>
  <c r="BQ23" i="1" s="1"/>
  <c r="AE23" i="1"/>
  <c r="BC23" i="1" s="1"/>
  <c r="AP23" i="1"/>
  <c r="BN23" i="1" s="1"/>
  <c r="AD23" i="1"/>
  <c r="BB23" i="1" s="1"/>
  <c r="BA23" i="1"/>
  <c r="BY23" i="1" s="1"/>
  <c r="AM23" i="1"/>
  <c r="BK23" i="1" s="1"/>
  <c r="AT23" i="1"/>
  <c r="BR23" i="1" s="1"/>
  <c r="AN23" i="1"/>
  <c r="BL23" i="1" s="1"/>
  <c r="AL23" i="1"/>
  <c r="BJ23" i="1" s="1"/>
  <c r="AK23" i="1"/>
  <c r="BI23" i="1" s="1"/>
  <c r="AH23" i="1"/>
  <c r="BF23" i="1" s="1"/>
  <c r="AJ4" i="1"/>
  <c r="BH4" i="1" s="1"/>
  <c r="AK7" i="1"/>
  <c r="BI7" i="1" s="1"/>
  <c r="AU23" i="1"/>
  <c r="BS23" i="1" s="1"/>
  <c r="AZ3" i="1"/>
  <c r="BX3" i="1" s="1"/>
  <c r="AL7" i="1"/>
  <c r="BJ7" i="1" s="1"/>
  <c r="AV23" i="1"/>
  <c r="BT23" i="1" s="1"/>
  <c r="AQ36" i="1"/>
  <c r="BO36" i="1" s="1"/>
  <c r="AL36" i="1"/>
  <c r="BJ36" i="1" s="1"/>
  <c r="AK36" i="1"/>
  <c r="BI36" i="1" s="1"/>
  <c r="AJ36" i="1"/>
  <c r="BH36" i="1" s="1"/>
  <c r="AZ36" i="1"/>
  <c r="BX36" i="1" s="1"/>
  <c r="AI36" i="1"/>
  <c r="BG36" i="1" s="1"/>
  <c r="AX4" i="1"/>
  <c r="BV4" i="1" s="1"/>
  <c r="AP4" i="1"/>
  <c r="BN4" i="1" s="1"/>
  <c r="AH4" i="1"/>
  <c r="BF4" i="1" s="1"/>
  <c r="AO4" i="1"/>
  <c r="BM4" i="1" s="1"/>
  <c r="AV4" i="1"/>
  <c r="BT4" i="1" s="1"/>
  <c r="AF4" i="1"/>
  <c r="BD4" i="1" s="1"/>
  <c r="AL4" i="1"/>
  <c r="BJ4" i="1" s="1"/>
  <c r="AW4" i="1"/>
  <c r="BU4" i="1" s="1"/>
  <c r="AG4" i="1"/>
  <c r="BE4" i="1" s="1"/>
  <c r="AN4" i="1"/>
  <c r="BL4" i="1" s="1"/>
  <c r="AD4" i="1"/>
  <c r="BB4" i="1" s="1"/>
  <c r="AU4" i="1"/>
  <c r="BS4" i="1" s="1"/>
  <c r="AM4" i="1"/>
  <c r="BK4" i="1" s="1"/>
  <c r="AE4" i="1"/>
  <c r="BC4" i="1" s="1"/>
  <c r="AT4" i="1"/>
  <c r="BR4" i="1" s="1"/>
  <c r="AT28" i="1"/>
  <c r="BR28" i="1" s="1"/>
  <c r="AU31" i="1"/>
  <c r="BS31" i="1" s="1"/>
  <c r="AZ4" i="1"/>
  <c r="BX4" i="1" s="1"/>
  <c r="BA7" i="1"/>
  <c r="BY7" i="1" s="1"/>
  <c r="AV28" i="1"/>
  <c r="BT28" i="1" s="1"/>
  <c r="AV31" i="1"/>
  <c r="BT31" i="1" s="1"/>
  <c r="AX8" i="1"/>
  <c r="BV8" i="1" s="1"/>
  <c r="AP8" i="1"/>
  <c r="BN8" i="1" s="1"/>
  <c r="AH8" i="1"/>
  <c r="BF8" i="1" s="1"/>
  <c r="AV8" i="1"/>
  <c r="BT8" i="1" s="1"/>
  <c r="AF8" i="1"/>
  <c r="BD8" i="1" s="1"/>
  <c r="AL8" i="1"/>
  <c r="BJ8" i="1" s="1"/>
  <c r="AW8" i="1"/>
  <c r="BU8" i="1" s="1"/>
  <c r="AO8" i="1"/>
  <c r="BM8" i="1" s="1"/>
  <c r="AG8" i="1"/>
  <c r="BE8" i="1" s="1"/>
  <c r="AN8" i="1"/>
  <c r="BL8" i="1" s="1"/>
  <c r="AT8" i="1"/>
  <c r="BR8" i="1" s="1"/>
  <c r="AU8" i="1"/>
  <c r="BS8" i="1" s="1"/>
  <c r="AM8" i="1"/>
  <c r="BK8" i="1" s="1"/>
  <c r="AE8" i="1"/>
  <c r="BC8" i="1" s="1"/>
  <c r="AD8" i="1"/>
  <c r="BB8" i="1" s="1"/>
  <c r="AY8" i="1"/>
  <c r="BW8" i="1" s="1"/>
  <c r="AY3" i="1"/>
  <c r="BW3" i="1" s="1"/>
  <c r="AI3" i="1"/>
  <c r="BG3" i="1" s="1"/>
  <c r="AX3" i="1"/>
  <c r="BV3" i="1" s="1"/>
  <c r="AH3" i="1"/>
  <c r="BF3" i="1" s="1"/>
  <c r="AN3" i="1"/>
  <c r="BL3" i="1" s="1"/>
  <c r="AQ3" i="1"/>
  <c r="BO3" i="1" s="1"/>
  <c r="AP3" i="1"/>
  <c r="BN3" i="1" s="1"/>
  <c r="AF3" i="1"/>
  <c r="BD3" i="1" s="1"/>
  <c r="AV3" i="1"/>
  <c r="BT3" i="1" s="1"/>
  <c r="AU3" i="1"/>
  <c r="BS3" i="1" s="1"/>
  <c r="AQ4" i="1"/>
  <c r="BO4" i="1" s="1"/>
  <c r="AM7" i="1"/>
  <c r="BK7" i="1" s="1"/>
  <c r="AI8" i="1"/>
  <c r="BG8" i="1" s="1"/>
  <c r="BA8" i="1"/>
  <c r="BY8" i="1" s="1"/>
  <c r="AX23" i="1"/>
  <c r="BV23" i="1" s="1"/>
  <c r="AT36" i="1"/>
  <c r="BR36" i="1" s="1"/>
  <c r="AJ5" i="1"/>
  <c r="BH5" i="1" s="1"/>
  <c r="AR9" i="1"/>
  <c r="BP9" i="1" s="1"/>
  <c r="AI2" i="1"/>
  <c r="BG2" i="1" s="1"/>
  <c r="AQ2" i="1"/>
  <c r="BO2" i="1" s="1"/>
  <c r="AY2" i="1"/>
  <c r="BW2" i="1" s="1"/>
  <c r="AG3" i="1"/>
  <c r="BE3" i="1" s="1"/>
  <c r="AO3" i="1"/>
  <c r="BM3" i="1" s="1"/>
  <c r="AW3" i="1"/>
  <c r="BU3" i="1" s="1"/>
  <c r="AK5" i="1"/>
  <c r="BI5" i="1" s="1"/>
  <c r="AS5" i="1"/>
  <c r="BQ5" i="1" s="1"/>
  <c r="BA5" i="1"/>
  <c r="BY5" i="1" s="1"/>
  <c r="AI6" i="1"/>
  <c r="BG6" i="1" s="1"/>
  <c r="AQ6" i="1"/>
  <c r="BO6" i="1" s="1"/>
  <c r="AY6" i="1"/>
  <c r="BW6" i="1" s="1"/>
  <c r="AG7" i="1"/>
  <c r="BE7" i="1" s="1"/>
  <c r="AO7" i="1"/>
  <c r="BM7" i="1" s="1"/>
  <c r="AW7" i="1"/>
  <c r="BU7" i="1" s="1"/>
  <c r="AK9" i="1"/>
  <c r="BI9" i="1" s="1"/>
  <c r="AS9" i="1"/>
  <c r="BQ9" i="1" s="1"/>
  <c r="BA9" i="1"/>
  <c r="BY9" i="1" s="1"/>
  <c r="AI10" i="1"/>
  <c r="BG10" i="1" s="1"/>
  <c r="AQ10" i="1"/>
  <c r="BO10" i="1" s="1"/>
  <c r="AY10" i="1"/>
  <c r="BW10" i="1" s="1"/>
  <c r="AK12" i="1"/>
  <c r="BI12" i="1" s="1"/>
  <c r="AK13" i="1"/>
  <c r="BI13" i="1" s="1"/>
  <c r="AK14" i="1"/>
  <c r="BI14" i="1" s="1"/>
  <c r="AX14" i="1"/>
  <c r="BV14" i="1" s="1"/>
  <c r="AK16" i="1"/>
  <c r="BI16" i="1" s="1"/>
  <c r="AK17" i="1"/>
  <c r="BI17" i="1" s="1"/>
  <c r="AX18" i="1"/>
  <c r="BV18" i="1" s="1"/>
  <c r="AK20" i="1"/>
  <c r="BI20" i="1" s="1"/>
  <c r="AK21" i="1"/>
  <c r="BI21" i="1" s="1"/>
  <c r="AT24" i="1"/>
  <c r="BR24" i="1" s="1"/>
  <c r="AT32" i="1"/>
  <c r="BR32" i="1" s="1"/>
  <c r="AU35" i="1"/>
  <c r="BS35" i="1" s="1"/>
  <c r="AR5" i="1"/>
  <c r="BP5" i="1" s="1"/>
  <c r="AJ9" i="1"/>
  <c r="BH9" i="1" s="1"/>
  <c r="AR2" i="1"/>
  <c r="BP2" i="1" s="1"/>
  <c r="AL5" i="1"/>
  <c r="BJ5" i="1" s="1"/>
  <c r="AR6" i="1"/>
  <c r="BP6" i="1" s="1"/>
  <c r="AD9" i="1"/>
  <c r="BB9" i="1" s="1"/>
  <c r="AR10" i="1"/>
  <c r="BP10" i="1" s="1"/>
  <c r="AS27" i="1"/>
  <c r="BQ27" i="1" s="1"/>
  <c r="AE27" i="1"/>
  <c r="BC27" i="1" s="1"/>
  <c r="AP27" i="1"/>
  <c r="BN27" i="1" s="1"/>
  <c r="AD27" i="1"/>
  <c r="BB27" i="1" s="1"/>
  <c r="BA27" i="1"/>
  <c r="BY27" i="1" s="1"/>
  <c r="AM27" i="1"/>
  <c r="BK27" i="1" s="1"/>
  <c r="AV35" i="1"/>
  <c r="BT35" i="1" s="1"/>
  <c r="BA2" i="1"/>
  <c r="BY2" i="1" s="1"/>
  <c r="AE5" i="1"/>
  <c r="BC5" i="1" s="1"/>
  <c r="AM5" i="1"/>
  <c r="BK5" i="1" s="1"/>
  <c r="AU5" i="1"/>
  <c r="BS5" i="1" s="1"/>
  <c r="AK6" i="1"/>
  <c r="BI6" i="1" s="1"/>
  <c r="AS6" i="1"/>
  <c r="BQ6" i="1" s="1"/>
  <c r="BA6" i="1"/>
  <c r="BY6" i="1" s="1"/>
  <c r="AE9" i="1"/>
  <c r="BC9" i="1" s="1"/>
  <c r="AM9" i="1"/>
  <c r="BK9" i="1" s="1"/>
  <c r="AU9" i="1"/>
  <c r="BS9" i="1" s="1"/>
  <c r="AK10" i="1"/>
  <c r="BI10" i="1" s="1"/>
  <c r="AS10" i="1"/>
  <c r="BQ10" i="1" s="1"/>
  <c r="AY12" i="1"/>
  <c r="BW12" i="1" s="1"/>
  <c r="AQ12" i="1"/>
  <c r="BO12" i="1" s="1"/>
  <c r="AI12" i="1"/>
  <c r="BG12" i="1" s="1"/>
  <c r="AX12" i="1"/>
  <c r="BV12" i="1" s="1"/>
  <c r="AP12" i="1"/>
  <c r="BN12" i="1" s="1"/>
  <c r="AH12" i="1"/>
  <c r="BF12" i="1" s="1"/>
  <c r="AV12" i="1"/>
  <c r="BT12" i="1" s="1"/>
  <c r="AN12" i="1"/>
  <c r="BL12" i="1" s="1"/>
  <c r="AF12" i="1"/>
  <c r="BD12" i="1" s="1"/>
  <c r="AM12" i="1"/>
  <c r="BK12" i="1" s="1"/>
  <c r="BA12" i="1"/>
  <c r="BY12" i="1" s="1"/>
  <c r="AW13" i="1"/>
  <c r="BU13" i="1" s="1"/>
  <c r="AO13" i="1"/>
  <c r="BM13" i="1" s="1"/>
  <c r="AG13" i="1"/>
  <c r="BE13" i="1" s="1"/>
  <c r="AV13" i="1"/>
  <c r="BT13" i="1" s="1"/>
  <c r="AN13" i="1"/>
  <c r="BL13" i="1" s="1"/>
  <c r="AF13" i="1"/>
  <c r="BD13" i="1" s="1"/>
  <c r="AT13" i="1"/>
  <c r="BR13" i="1" s="1"/>
  <c r="AL13" i="1"/>
  <c r="BJ13" i="1" s="1"/>
  <c r="AD13" i="1"/>
  <c r="BB13" i="1" s="1"/>
  <c r="AP13" i="1"/>
  <c r="BN13" i="1" s="1"/>
  <c r="BA13" i="1"/>
  <c r="BY13" i="1" s="1"/>
  <c r="AY16" i="1"/>
  <c r="BW16" i="1" s="1"/>
  <c r="AQ16" i="1"/>
  <c r="BO16" i="1" s="1"/>
  <c r="AI16" i="1"/>
  <c r="BG16" i="1" s="1"/>
  <c r="AX16" i="1"/>
  <c r="BV16" i="1" s="1"/>
  <c r="AP16" i="1"/>
  <c r="BN16" i="1" s="1"/>
  <c r="AH16" i="1"/>
  <c r="BF16" i="1" s="1"/>
  <c r="AV16" i="1"/>
  <c r="BT16" i="1" s="1"/>
  <c r="AN16" i="1"/>
  <c r="BL16" i="1" s="1"/>
  <c r="AF16" i="1"/>
  <c r="BD16" i="1" s="1"/>
  <c r="AM16" i="1"/>
  <c r="BK16" i="1" s="1"/>
  <c r="BA16" i="1"/>
  <c r="BY16" i="1" s="1"/>
  <c r="AW17" i="1"/>
  <c r="BU17" i="1" s="1"/>
  <c r="AO17" i="1"/>
  <c r="BM17" i="1" s="1"/>
  <c r="AG17" i="1"/>
  <c r="BE17" i="1" s="1"/>
  <c r="AV17" i="1"/>
  <c r="BT17" i="1" s="1"/>
  <c r="AN17" i="1"/>
  <c r="BL17" i="1" s="1"/>
  <c r="AF17" i="1"/>
  <c r="BD17" i="1" s="1"/>
  <c r="AT17" i="1"/>
  <c r="BR17" i="1" s="1"/>
  <c r="AL17" i="1"/>
  <c r="BJ17" i="1" s="1"/>
  <c r="AD17" i="1"/>
  <c r="BB17" i="1" s="1"/>
  <c r="AP17" i="1"/>
  <c r="BN17" i="1" s="1"/>
  <c r="BA17" i="1"/>
  <c r="BY17" i="1" s="1"/>
  <c r="AY20" i="1"/>
  <c r="BW20" i="1" s="1"/>
  <c r="AQ20" i="1"/>
  <c r="BO20" i="1" s="1"/>
  <c r="AI20" i="1"/>
  <c r="BG20" i="1" s="1"/>
  <c r="AX20" i="1"/>
  <c r="BV20" i="1" s="1"/>
  <c r="AP20" i="1"/>
  <c r="BN20" i="1" s="1"/>
  <c r="AH20" i="1"/>
  <c r="BF20" i="1" s="1"/>
  <c r="AV20" i="1"/>
  <c r="BT20" i="1" s="1"/>
  <c r="AN20" i="1"/>
  <c r="BL20" i="1" s="1"/>
  <c r="AF20" i="1"/>
  <c r="BD20" i="1" s="1"/>
  <c r="AM20" i="1"/>
  <c r="BK20" i="1" s="1"/>
  <c r="BA20" i="1"/>
  <c r="BY20" i="1" s="1"/>
  <c r="AW21" i="1"/>
  <c r="BU21" i="1" s="1"/>
  <c r="AO21" i="1"/>
  <c r="BM21" i="1" s="1"/>
  <c r="AG21" i="1"/>
  <c r="BE21" i="1" s="1"/>
  <c r="AV21" i="1"/>
  <c r="BT21" i="1" s="1"/>
  <c r="AN21" i="1"/>
  <c r="BL21" i="1" s="1"/>
  <c r="AF21" i="1"/>
  <c r="BD21" i="1" s="1"/>
  <c r="AT21" i="1"/>
  <c r="BR21" i="1" s="1"/>
  <c r="AL21" i="1"/>
  <c r="BJ21" i="1" s="1"/>
  <c r="AD21" i="1"/>
  <c r="BB21" i="1" s="1"/>
  <c r="AP21" i="1"/>
  <c r="BN21" i="1" s="1"/>
  <c r="BA21" i="1"/>
  <c r="BY21" i="1" s="1"/>
  <c r="AY24" i="1"/>
  <c r="BW24" i="1" s="1"/>
  <c r="AF27" i="1"/>
  <c r="BD27" i="1" s="1"/>
  <c r="AX27" i="1"/>
  <c r="BV27" i="1" s="1"/>
  <c r="AY32" i="1"/>
  <c r="BW32" i="1" s="1"/>
  <c r="AF35" i="1"/>
  <c r="BD35" i="1" s="1"/>
  <c r="AZ5" i="1"/>
  <c r="BX5" i="1" s="1"/>
  <c r="AZ9" i="1"/>
  <c r="BX9" i="1" s="1"/>
  <c r="AJ2" i="1"/>
  <c r="BH2" i="1" s="1"/>
  <c r="AZ2" i="1"/>
  <c r="BX2" i="1" s="1"/>
  <c r="AD5" i="1"/>
  <c r="BB5" i="1" s="1"/>
  <c r="AT5" i="1"/>
  <c r="BR5" i="1" s="1"/>
  <c r="AJ6" i="1"/>
  <c r="BH6" i="1" s="1"/>
  <c r="AZ6" i="1"/>
  <c r="BX6" i="1" s="1"/>
  <c r="AL9" i="1"/>
  <c r="BJ9" i="1" s="1"/>
  <c r="AT9" i="1"/>
  <c r="BR9" i="1" s="1"/>
  <c r="AJ10" i="1"/>
  <c r="BH10" i="1" s="1"/>
  <c r="BA10" i="1"/>
  <c r="BY10" i="1" s="1"/>
  <c r="AV27" i="1"/>
  <c r="BT27" i="1" s="1"/>
  <c r="AY35" i="1"/>
  <c r="BW35" i="1" s="1"/>
  <c r="AQ35" i="1"/>
  <c r="BO35" i="1" s="1"/>
  <c r="AI35" i="1"/>
  <c r="BG35" i="1" s="1"/>
  <c r="AS35" i="1"/>
  <c r="BQ35" i="1" s="1"/>
  <c r="AE35" i="1"/>
  <c r="BC35" i="1" s="1"/>
  <c r="AP35" i="1"/>
  <c r="BN35" i="1" s="1"/>
  <c r="AD35" i="1"/>
  <c r="BB35" i="1" s="1"/>
  <c r="BA35" i="1"/>
  <c r="BY35" i="1" s="1"/>
  <c r="AM35" i="1"/>
  <c r="BK35" i="1" s="1"/>
  <c r="AK2" i="1"/>
  <c r="BI2" i="1" s="1"/>
  <c r="AS2" i="1"/>
  <c r="BQ2" i="1" s="1"/>
  <c r="AD2" i="1"/>
  <c r="BB2" i="1" s="1"/>
  <c r="AL2" i="1"/>
  <c r="BJ2" i="1" s="1"/>
  <c r="AJ3" i="1"/>
  <c r="BH3" i="1" s="1"/>
  <c r="AR3" i="1"/>
  <c r="BP3" i="1" s="1"/>
  <c r="AF5" i="1"/>
  <c r="BD5" i="1" s="1"/>
  <c r="AN5" i="1"/>
  <c r="BL5" i="1" s="1"/>
  <c r="AD6" i="1"/>
  <c r="BB6" i="1" s="1"/>
  <c r="AL6" i="1"/>
  <c r="BJ6" i="1" s="1"/>
  <c r="AJ7" i="1"/>
  <c r="BH7" i="1" s="1"/>
  <c r="AR7" i="1"/>
  <c r="BP7" i="1" s="1"/>
  <c r="AF9" i="1"/>
  <c r="BD9" i="1" s="1"/>
  <c r="AN9" i="1"/>
  <c r="BL9" i="1" s="1"/>
  <c r="AD10" i="1"/>
  <c r="BB10" i="1" s="1"/>
  <c r="AL10" i="1"/>
  <c r="BJ10" i="1" s="1"/>
  <c r="AT10" i="1"/>
  <c r="BR10" i="1" s="1"/>
  <c r="AO12" i="1"/>
  <c r="BM12" i="1" s="1"/>
  <c r="AQ13" i="1"/>
  <c r="BO13" i="1" s="1"/>
  <c r="AO16" i="1"/>
  <c r="BM16" i="1" s="1"/>
  <c r="AQ17" i="1"/>
  <c r="BO17" i="1" s="1"/>
  <c r="AO20" i="1"/>
  <c r="BM20" i="1" s="1"/>
  <c r="AQ21" i="1"/>
  <c r="BO21" i="1" s="1"/>
  <c r="AI24" i="1"/>
  <c r="BG24" i="1" s="1"/>
  <c r="AH27" i="1"/>
  <c r="BF27" i="1" s="1"/>
  <c r="AI32" i="1"/>
  <c r="BG32" i="1" s="1"/>
  <c r="AH35" i="1"/>
  <c r="BF35" i="1" s="1"/>
  <c r="AH11" i="1"/>
  <c r="BF11" i="1" s="1"/>
  <c r="AP11" i="1"/>
  <c r="BN11" i="1" s="1"/>
  <c r="AX11" i="1"/>
  <c r="BV11" i="1" s="1"/>
  <c r="AJ14" i="1"/>
  <c r="BH14" i="1" s="1"/>
  <c r="AR14" i="1"/>
  <c r="BP14" i="1" s="1"/>
  <c r="AZ14" i="1"/>
  <c r="BX14" i="1" s="1"/>
  <c r="AH15" i="1"/>
  <c r="BF15" i="1" s="1"/>
  <c r="AP15" i="1"/>
  <c r="BN15" i="1" s="1"/>
  <c r="AX15" i="1"/>
  <c r="BV15" i="1" s="1"/>
  <c r="AJ18" i="1"/>
  <c r="BH18" i="1" s="1"/>
  <c r="AR18" i="1"/>
  <c r="BP18" i="1" s="1"/>
  <c r="AZ18" i="1"/>
  <c r="BX18" i="1" s="1"/>
  <c r="AH19" i="1"/>
  <c r="BF19" i="1" s="1"/>
  <c r="AP19" i="1"/>
  <c r="BN19" i="1" s="1"/>
  <c r="AX19" i="1"/>
  <c r="BV19" i="1" s="1"/>
  <c r="BA22" i="1"/>
  <c r="BY22" i="1" s="1"/>
  <c r="AJ22" i="1"/>
  <c r="BH22" i="1" s="1"/>
  <c r="AR22" i="1"/>
  <c r="BP22" i="1" s="1"/>
  <c r="AZ22" i="1"/>
  <c r="BX22" i="1" s="1"/>
  <c r="AZ23" i="1"/>
  <c r="BX23" i="1" s="1"/>
  <c r="AX24" i="1"/>
  <c r="BV24" i="1" s="1"/>
  <c r="AP24" i="1"/>
  <c r="BN24" i="1" s="1"/>
  <c r="AH24" i="1"/>
  <c r="BF24" i="1" s="1"/>
  <c r="AW24" i="1"/>
  <c r="BU24" i="1" s="1"/>
  <c r="AO24" i="1"/>
  <c r="BM24" i="1" s="1"/>
  <c r="AG24" i="1"/>
  <c r="BE24" i="1" s="1"/>
  <c r="AU24" i="1"/>
  <c r="BS24" i="1" s="1"/>
  <c r="AM24" i="1"/>
  <c r="BK24" i="1" s="1"/>
  <c r="AE24" i="1"/>
  <c r="BC24" i="1" s="1"/>
  <c r="AN24" i="1"/>
  <c r="BL24" i="1" s="1"/>
  <c r="BA24" i="1"/>
  <c r="BY24" i="1" s="1"/>
  <c r="AV25" i="1"/>
  <c r="BT25" i="1" s="1"/>
  <c r="AN25" i="1"/>
  <c r="BL25" i="1" s="1"/>
  <c r="AF25" i="1"/>
  <c r="BD25" i="1" s="1"/>
  <c r="AU25" i="1"/>
  <c r="BS25" i="1" s="1"/>
  <c r="AM25" i="1"/>
  <c r="BK25" i="1" s="1"/>
  <c r="AE25" i="1"/>
  <c r="BC25" i="1" s="1"/>
  <c r="BA25" i="1"/>
  <c r="BY25" i="1" s="1"/>
  <c r="AS25" i="1"/>
  <c r="BQ25" i="1" s="1"/>
  <c r="AK25" i="1"/>
  <c r="BI25" i="1" s="1"/>
  <c r="AO25" i="1"/>
  <c r="BM25" i="1" s="1"/>
  <c r="AZ25" i="1"/>
  <c r="BX25" i="1" s="1"/>
  <c r="AT26" i="1"/>
  <c r="BR26" i="1" s="1"/>
  <c r="AL26" i="1"/>
  <c r="BJ26" i="1" s="1"/>
  <c r="AD26" i="1"/>
  <c r="BB26" i="1" s="1"/>
  <c r="BA26" i="1"/>
  <c r="BY26" i="1" s="1"/>
  <c r="AS26" i="1"/>
  <c r="BQ26" i="1" s="1"/>
  <c r="AK26" i="1"/>
  <c r="BI26" i="1" s="1"/>
  <c r="AY26" i="1"/>
  <c r="BW26" i="1" s="1"/>
  <c r="AQ26" i="1"/>
  <c r="BO26" i="1" s="1"/>
  <c r="AI26" i="1"/>
  <c r="BG26" i="1" s="1"/>
  <c r="AN26" i="1"/>
  <c r="BL26" i="1" s="1"/>
  <c r="AZ26" i="1"/>
  <c r="BX26" i="1" s="1"/>
  <c r="AZ27" i="1"/>
  <c r="BX27" i="1" s="1"/>
  <c r="AX28" i="1"/>
  <c r="BV28" i="1" s="1"/>
  <c r="AP28" i="1"/>
  <c r="BN28" i="1" s="1"/>
  <c r="AH28" i="1"/>
  <c r="BF28" i="1" s="1"/>
  <c r="AW28" i="1"/>
  <c r="BU28" i="1" s="1"/>
  <c r="AO28" i="1"/>
  <c r="BM28" i="1" s="1"/>
  <c r="AG28" i="1"/>
  <c r="BE28" i="1" s="1"/>
  <c r="AU28" i="1"/>
  <c r="BS28" i="1" s="1"/>
  <c r="AM28" i="1"/>
  <c r="BK28" i="1" s="1"/>
  <c r="AE28" i="1"/>
  <c r="BC28" i="1" s="1"/>
  <c r="AN28" i="1"/>
  <c r="BL28" i="1" s="1"/>
  <c r="BA28" i="1"/>
  <c r="BY28" i="1" s="1"/>
  <c r="AV29" i="1"/>
  <c r="BT29" i="1" s="1"/>
  <c r="AN29" i="1"/>
  <c r="BL29" i="1" s="1"/>
  <c r="AF29" i="1"/>
  <c r="BD29" i="1" s="1"/>
  <c r="AU29" i="1"/>
  <c r="BS29" i="1" s="1"/>
  <c r="AM29" i="1"/>
  <c r="BK29" i="1" s="1"/>
  <c r="AE29" i="1"/>
  <c r="BC29" i="1" s="1"/>
  <c r="BA29" i="1"/>
  <c r="BY29" i="1" s="1"/>
  <c r="AS29" i="1"/>
  <c r="BQ29" i="1" s="1"/>
  <c r="AK29" i="1"/>
  <c r="BI29" i="1" s="1"/>
  <c r="AO29" i="1"/>
  <c r="BM29" i="1" s="1"/>
  <c r="AZ29" i="1"/>
  <c r="BX29" i="1" s="1"/>
  <c r="AT30" i="1"/>
  <c r="BR30" i="1" s="1"/>
  <c r="AL30" i="1"/>
  <c r="BJ30" i="1" s="1"/>
  <c r="AD30" i="1"/>
  <c r="BB30" i="1" s="1"/>
  <c r="BA30" i="1"/>
  <c r="BY30" i="1" s="1"/>
  <c r="AS30" i="1"/>
  <c r="BQ30" i="1" s="1"/>
  <c r="AK30" i="1"/>
  <c r="BI30" i="1" s="1"/>
  <c r="AY30" i="1"/>
  <c r="BW30" i="1" s="1"/>
  <c r="AQ30" i="1"/>
  <c r="BO30" i="1" s="1"/>
  <c r="AI30" i="1"/>
  <c r="BG30" i="1" s="1"/>
  <c r="AN30" i="1"/>
  <c r="BL30" i="1" s="1"/>
  <c r="AZ30" i="1"/>
  <c r="BX30" i="1" s="1"/>
  <c r="AZ31" i="1"/>
  <c r="BX31" i="1" s="1"/>
  <c r="AX32" i="1"/>
  <c r="BV32" i="1" s="1"/>
  <c r="AP32" i="1"/>
  <c r="BN32" i="1" s="1"/>
  <c r="AH32" i="1"/>
  <c r="BF32" i="1" s="1"/>
  <c r="AW32" i="1"/>
  <c r="BU32" i="1" s="1"/>
  <c r="AO32" i="1"/>
  <c r="BM32" i="1" s="1"/>
  <c r="AG32" i="1"/>
  <c r="BE32" i="1" s="1"/>
  <c r="AU32" i="1"/>
  <c r="BS32" i="1" s="1"/>
  <c r="AM32" i="1"/>
  <c r="BK32" i="1" s="1"/>
  <c r="AE32" i="1"/>
  <c r="BC32" i="1" s="1"/>
  <c r="AN32" i="1"/>
  <c r="BL32" i="1" s="1"/>
  <c r="BA32" i="1"/>
  <c r="BY32" i="1" s="1"/>
  <c r="AV33" i="1"/>
  <c r="BT33" i="1" s="1"/>
  <c r="AN33" i="1"/>
  <c r="BL33" i="1" s="1"/>
  <c r="AF33" i="1"/>
  <c r="BD33" i="1" s="1"/>
  <c r="AU33" i="1"/>
  <c r="BS33" i="1" s="1"/>
  <c r="AM33" i="1"/>
  <c r="BK33" i="1" s="1"/>
  <c r="AE33" i="1"/>
  <c r="BC33" i="1" s="1"/>
  <c r="BA33" i="1"/>
  <c r="BY33" i="1" s="1"/>
  <c r="AS33" i="1"/>
  <c r="BQ33" i="1" s="1"/>
  <c r="AK33" i="1"/>
  <c r="BI33" i="1" s="1"/>
  <c r="AO33" i="1"/>
  <c r="BM33" i="1" s="1"/>
  <c r="AZ33" i="1"/>
  <c r="BX33" i="1" s="1"/>
  <c r="AT34" i="1"/>
  <c r="BR34" i="1" s="1"/>
  <c r="AL34" i="1"/>
  <c r="BJ34" i="1" s="1"/>
  <c r="AD34" i="1"/>
  <c r="BB34" i="1" s="1"/>
  <c r="BA34" i="1"/>
  <c r="BY34" i="1" s="1"/>
  <c r="AS34" i="1"/>
  <c r="BQ34" i="1" s="1"/>
  <c r="AK34" i="1"/>
  <c r="BI34" i="1" s="1"/>
  <c r="AY34" i="1"/>
  <c r="BW34" i="1" s="1"/>
  <c r="AQ34" i="1"/>
  <c r="BO34" i="1" s="1"/>
  <c r="AI34" i="1"/>
  <c r="BG34" i="1" s="1"/>
  <c r="AN34" i="1"/>
  <c r="BL34" i="1" s="1"/>
  <c r="AZ34" i="1"/>
  <c r="BX34" i="1" s="1"/>
  <c r="AZ35" i="1"/>
  <c r="BX35" i="1" s="1"/>
  <c r="AX36" i="1"/>
  <c r="BV36" i="1" s="1"/>
  <c r="AP36" i="1"/>
  <c r="BN36" i="1" s="1"/>
  <c r="AH36" i="1"/>
  <c r="BF36" i="1" s="1"/>
  <c r="AW36" i="1"/>
  <c r="BU36" i="1" s="1"/>
  <c r="AO36" i="1"/>
  <c r="BM36" i="1" s="1"/>
  <c r="AG36" i="1"/>
  <c r="BE36" i="1" s="1"/>
  <c r="AU36" i="1"/>
  <c r="BS36" i="1" s="1"/>
  <c r="AM36" i="1"/>
  <c r="BK36" i="1" s="1"/>
  <c r="AE36" i="1"/>
  <c r="BC36" i="1" s="1"/>
  <c r="AN36" i="1"/>
  <c r="BL36" i="1" s="1"/>
  <c r="BA36" i="1"/>
  <c r="BY36" i="1" s="1"/>
  <c r="AV37" i="1"/>
  <c r="BT37" i="1" s="1"/>
  <c r="AN37" i="1"/>
  <c r="BL37" i="1" s="1"/>
  <c r="AF37" i="1"/>
  <c r="BD37" i="1" s="1"/>
  <c r="AU37" i="1"/>
  <c r="BS37" i="1" s="1"/>
  <c r="AM37" i="1"/>
  <c r="BK37" i="1" s="1"/>
  <c r="AE37" i="1"/>
  <c r="BC37" i="1" s="1"/>
  <c r="BA37" i="1"/>
  <c r="BY37" i="1" s="1"/>
  <c r="AS37" i="1"/>
  <c r="BQ37" i="1" s="1"/>
  <c r="AK37" i="1"/>
  <c r="BI37" i="1" s="1"/>
  <c r="AO37" i="1"/>
  <c r="BM37" i="1" s="1"/>
  <c r="AZ37" i="1"/>
  <c r="BX37" i="1" s="1"/>
  <c r="AT38" i="1"/>
  <c r="BR38" i="1" s="1"/>
  <c r="AL38" i="1"/>
  <c r="BJ38" i="1" s="1"/>
  <c r="AD38" i="1"/>
  <c r="BB38" i="1" s="1"/>
  <c r="BA38" i="1"/>
  <c r="BY38" i="1" s="1"/>
  <c r="AS38" i="1"/>
  <c r="BQ38" i="1" s="1"/>
  <c r="AK38" i="1"/>
  <c r="BI38" i="1" s="1"/>
  <c r="AY38" i="1"/>
  <c r="BW38" i="1" s="1"/>
  <c r="AQ38" i="1"/>
  <c r="BO38" i="1" s="1"/>
  <c r="AI38" i="1"/>
  <c r="BG38" i="1" s="1"/>
  <c r="AN38" i="1"/>
  <c r="BL38" i="1" s="1"/>
  <c r="AZ38" i="1"/>
  <c r="BX38" i="1" s="1"/>
  <c r="AZ39" i="1"/>
  <c r="BX39" i="1" s="1"/>
  <c r="AJ11" i="1"/>
  <c r="BH11" i="1" s="1"/>
  <c r="AR11" i="1"/>
  <c r="BP11" i="1" s="1"/>
  <c r="AZ11" i="1"/>
  <c r="BX11" i="1" s="1"/>
  <c r="AD14" i="1"/>
  <c r="BB14" i="1" s="1"/>
  <c r="AL14" i="1"/>
  <c r="BJ14" i="1" s="1"/>
  <c r="AT14" i="1"/>
  <c r="BR14" i="1" s="1"/>
  <c r="AJ15" i="1"/>
  <c r="BH15" i="1" s="1"/>
  <c r="AR15" i="1"/>
  <c r="BP15" i="1" s="1"/>
  <c r="AZ15" i="1"/>
  <c r="BX15" i="1" s="1"/>
  <c r="AD18" i="1"/>
  <c r="BB18" i="1" s="1"/>
  <c r="AL18" i="1"/>
  <c r="BJ18" i="1" s="1"/>
  <c r="AT18" i="1"/>
  <c r="BR18" i="1" s="1"/>
  <c r="AJ19" i="1"/>
  <c r="BH19" i="1" s="1"/>
  <c r="AR19" i="1"/>
  <c r="BP19" i="1" s="1"/>
  <c r="AZ19" i="1"/>
  <c r="BX19" i="1" s="1"/>
  <c r="AD22" i="1"/>
  <c r="BB22" i="1" s="1"/>
  <c r="AL22" i="1"/>
  <c r="BJ22" i="1" s="1"/>
  <c r="AT22" i="1"/>
  <c r="BR22" i="1" s="1"/>
  <c r="AD24" i="1"/>
  <c r="BB24" i="1" s="1"/>
  <c r="AR24" i="1"/>
  <c r="BP24" i="1" s="1"/>
  <c r="AD25" i="1"/>
  <c r="BB25" i="1" s="1"/>
  <c r="AQ25" i="1"/>
  <c r="BO25" i="1" s="1"/>
  <c r="AE26" i="1"/>
  <c r="BC26" i="1" s="1"/>
  <c r="AP26" i="1"/>
  <c r="BN26" i="1" s="1"/>
  <c r="AD28" i="1"/>
  <c r="BB28" i="1" s="1"/>
  <c r="AR28" i="1"/>
  <c r="BP28" i="1" s="1"/>
  <c r="AD29" i="1"/>
  <c r="BB29" i="1" s="1"/>
  <c r="AQ29" i="1"/>
  <c r="BO29" i="1" s="1"/>
  <c r="AE30" i="1"/>
  <c r="BC30" i="1" s="1"/>
  <c r="AP30" i="1"/>
  <c r="BN30" i="1" s="1"/>
  <c r="AD32" i="1"/>
  <c r="BB32" i="1" s="1"/>
  <c r="AR32" i="1"/>
  <c r="BP32" i="1" s="1"/>
  <c r="AD33" i="1"/>
  <c r="BB33" i="1" s="1"/>
  <c r="AQ33" i="1"/>
  <c r="BO33" i="1" s="1"/>
  <c r="AE34" i="1"/>
  <c r="BC34" i="1" s="1"/>
  <c r="AP34" i="1"/>
  <c r="BN34" i="1" s="1"/>
  <c r="AD36" i="1"/>
  <c r="BB36" i="1" s="1"/>
  <c r="AR36" i="1"/>
  <c r="BP36" i="1" s="1"/>
  <c r="AD37" i="1"/>
  <c r="BB37" i="1" s="1"/>
  <c r="AQ37" i="1"/>
  <c r="BO37" i="1" s="1"/>
  <c r="AE38" i="1"/>
  <c r="BC38" i="1" s="1"/>
  <c r="AP38" i="1"/>
  <c r="BN38" i="1" s="1"/>
  <c r="AK11" i="1"/>
  <c r="BI11" i="1" s="1"/>
  <c r="AS11" i="1"/>
  <c r="BQ11" i="1" s="1"/>
  <c r="AE14" i="1"/>
  <c r="BC14" i="1" s="1"/>
  <c r="AM14" i="1"/>
  <c r="BK14" i="1" s="1"/>
  <c r="AK15" i="1"/>
  <c r="BI15" i="1" s="1"/>
  <c r="AS15" i="1"/>
  <c r="BQ15" i="1" s="1"/>
  <c r="AE18" i="1"/>
  <c r="BC18" i="1" s="1"/>
  <c r="AM18" i="1"/>
  <c r="BK18" i="1" s="1"/>
  <c r="AK19" i="1"/>
  <c r="BI19" i="1" s="1"/>
  <c r="AS19" i="1"/>
  <c r="BQ19" i="1" s="1"/>
  <c r="AE22" i="1"/>
  <c r="BC22" i="1" s="1"/>
  <c r="AM22" i="1"/>
  <c r="BK22" i="1" s="1"/>
  <c r="AU22" i="1"/>
  <c r="BS22" i="1" s="1"/>
  <c r="AF24" i="1"/>
  <c r="BD24" i="1" s="1"/>
  <c r="AS24" i="1"/>
  <c r="BQ24" i="1" s="1"/>
  <c r="AG25" i="1"/>
  <c r="BE25" i="1" s="1"/>
  <c r="AR25" i="1"/>
  <c r="BP25" i="1" s="1"/>
  <c r="AF26" i="1"/>
  <c r="BD26" i="1" s="1"/>
  <c r="AR26" i="1"/>
  <c r="BP26" i="1" s="1"/>
  <c r="AF28" i="1"/>
  <c r="BD28" i="1" s="1"/>
  <c r="AS28" i="1"/>
  <c r="BQ28" i="1" s="1"/>
  <c r="AG29" i="1"/>
  <c r="BE29" i="1" s="1"/>
  <c r="AR29" i="1"/>
  <c r="BP29" i="1" s="1"/>
  <c r="AF30" i="1"/>
  <c r="BD30" i="1" s="1"/>
  <c r="AR30" i="1"/>
  <c r="BP30" i="1" s="1"/>
  <c r="AF32" i="1"/>
  <c r="BD32" i="1" s="1"/>
  <c r="AS32" i="1"/>
  <c r="BQ32" i="1" s="1"/>
  <c r="AG33" i="1"/>
  <c r="BE33" i="1" s="1"/>
  <c r="AR33" i="1"/>
  <c r="BP33" i="1" s="1"/>
  <c r="AF34" i="1"/>
  <c r="BD34" i="1" s="1"/>
  <c r="AR34" i="1"/>
  <c r="BP34" i="1" s="1"/>
  <c r="AF36" i="1"/>
  <c r="BD36" i="1" s="1"/>
  <c r="AS36" i="1"/>
  <c r="BQ36" i="1" s="1"/>
  <c r="AG37" i="1"/>
  <c r="BE37" i="1" s="1"/>
  <c r="AR37" i="1"/>
  <c r="BP37" i="1" s="1"/>
  <c r="AF38" i="1"/>
  <c r="BD38" i="1" s="1"/>
  <c r="AR38" i="1"/>
  <c r="BP38" i="1" s="1"/>
  <c r="AG23" i="1"/>
  <c r="BE23" i="1" s="1"/>
  <c r="AO23" i="1"/>
  <c r="BM23" i="1" s="1"/>
  <c r="AW23" i="1"/>
  <c r="BU23" i="1" s="1"/>
  <c r="AG27" i="1"/>
  <c r="BE27" i="1" s="1"/>
  <c r="AO27" i="1"/>
  <c r="BM27" i="1" s="1"/>
  <c r="AW27" i="1"/>
  <c r="BU27" i="1" s="1"/>
  <c r="AG31" i="1"/>
  <c r="BE31" i="1" s="1"/>
  <c r="AO31" i="1"/>
  <c r="BM31" i="1" s="1"/>
  <c r="AW31" i="1"/>
  <c r="BU31" i="1" s="1"/>
  <c r="AG35" i="1"/>
  <c r="BE35" i="1" s="1"/>
  <c r="AO35" i="1"/>
  <c r="BM35" i="1" s="1"/>
  <c r="AW35" i="1"/>
  <c r="BU35" i="1" s="1"/>
  <c r="AG39" i="1"/>
  <c r="BE39" i="1" s="1"/>
  <c r="AO39" i="1"/>
  <c r="BM39" i="1" s="1"/>
  <c r="AW39" i="1"/>
  <c r="BU39" i="1" s="1"/>
  <c r="AI23" i="1"/>
  <c r="BG23" i="1" s="1"/>
  <c r="AQ23" i="1"/>
  <c r="BO23" i="1" s="1"/>
  <c r="AY23" i="1"/>
  <c r="BW23" i="1" s="1"/>
  <c r="AI27" i="1"/>
  <c r="BG27" i="1" s="1"/>
  <c r="AQ27" i="1"/>
  <c r="BO27" i="1" s="1"/>
  <c r="AY27" i="1"/>
  <c r="BW27" i="1" s="1"/>
  <c r="AI31" i="1"/>
  <c r="BG31" i="1" s="1"/>
  <c r="AQ31" i="1"/>
  <c r="BO31" i="1" s="1"/>
  <c r="AY31" i="1"/>
  <c r="BW31" i="1" s="1"/>
  <c r="AJ23" i="1"/>
  <c r="BH23" i="1" s="1"/>
  <c r="AR23" i="1"/>
  <c r="BP23" i="1" s="1"/>
  <c r="AJ27" i="1"/>
  <c r="BH27" i="1" s="1"/>
  <c r="AR27" i="1"/>
  <c r="BP27" i="1" s="1"/>
  <c r="AJ31" i="1"/>
  <c r="BH31" i="1" s="1"/>
  <c r="AR31" i="1"/>
  <c r="BP31" i="1" s="1"/>
  <c r="AJ35" i="1"/>
  <c r="BH35" i="1" s="1"/>
  <c r="AR35" i="1"/>
  <c r="BP35" i="1" s="1"/>
  <c r="AJ39" i="1"/>
  <c r="BH39" i="1" s="1"/>
  <c r="AR39" i="1"/>
  <c r="BP39" i="1" s="1"/>
</calcChain>
</file>

<file path=xl/sharedStrings.xml><?xml version="1.0" encoding="utf-8"?>
<sst xmlns="http://schemas.openxmlformats.org/spreadsheetml/2006/main" count="167" uniqueCount="118">
  <si>
    <t>brand</t>
  </si>
  <si>
    <t>category</t>
  </si>
  <si>
    <t>type</t>
  </si>
  <si>
    <t>mean</t>
  </si>
  <si>
    <t>sd</t>
  </si>
  <si>
    <t>z1</t>
  </si>
  <si>
    <t>z2</t>
  </si>
  <si>
    <t>z3</t>
  </si>
  <si>
    <t>z4</t>
  </si>
  <si>
    <t>z5</t>
  </si>
  <si>
    <t>z6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</si>
  <si>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</si>
  <si>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</si>
  <si>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</si>
  <si>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</si>
  <si>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</si>
  <si>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</si>
  <si>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</si>
  <si>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</si>
  <si>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</si>
  <si>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</si>
  <si>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</si>
  <si>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</si>
  <si>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</si>
  <si>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</si>
  <si>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</si>
  <si>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</si>
  <si>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</si>
  <si>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</si>
  <si>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ifelse1</t>
  </si>
  <si>
    <t>ifelse2</t>
  </si>
  <si>
    <t>ifelse3</t>
  </si>
  <si>
    <t>ifelse4</t>
  </si>
  <si>
    <t>ifelse5</t>
  </si>
  <si>
    <t>ifelse6</t>
  </si>
  <si>
    <t>ifelse7</t>
  </si>
  <si>
    <t>ifelse8</t>
  </si>
  <si>
    <t>ifelse9</t>
  </si>
  <si>
    <t>ifelse10</t>
  </si>
  <si>
    <t>ifelse11</t>
  </si>
  <si>
    <t>ifelse12</t>
  </si>
  <si>
    <t>ifelse13</t>
  </si>
  <si>
    <t>ifelse14</t>
  </si>
  <si>
    <t>ifelse15</t>
  </si>
  <si>
    <t>ifelse16</t>
  </si>
  <si>
    <t>ifelse17</t>
  </si>
  <si>
    <t>ifelse18</t>
  </si>
  <si>
    <t>ifelse19</t>
  </si>
  <si>
    <t>ifelse20</t>
  </si>
  <si>
    <t>ifelse21</t>
  </si>
  <si>
    <t>ifelse22</t>
  </si>
  <si>
    <t>ifelse23</t>
  </si>
  <si>
    <t>ifelse24</t>
  </si>
  <si>
    <t>Pop Mart (Labubu)</t>
  </si>
  <si>
    <t>Accessories</t>
  </si>
  <si>
    <t>Toy</t>
  </si>
  <si>
    <t>Miu Miu</t>
  </si>
  <si>
    <t>Eyewear</t>
  </si>
  <si>
    <t>SKIMS</t>
  </si>
  <si>
    <t>Clothes</t>
  </si>
  <si>
    <t>Balenciaga</t>
  </si>
  <si>
    <t>Acne Studios</t>
  </si>
  <si>
    <t>NINJA</t>
  </si>
  <si>
    <t>Appliance</t>
  </si>
  <si>
    <t>Electronics</t>
  </si>
  <si>
    <t>American Eagle</t>
  </si>
  <si>
    <t>Jeans</t>
  </si>
  <si>
    <t>GAP</t>
  </si>
  <si>
    <t>Jet2</t>
  </si>
  <si>
    <t>Travel</t>
  </si>
  <si>
    <t>Airline</t>
  </si>
  <si>
    <t>Duolingo</t>
  </si>
  <si>
    <t>Service</t>
  </si>
  <si>
    <t>App</t>
  </si>
  <si>
    <t>Dunkin'</t>
  </si>
  <si>
    <t>Food</t>
  </si>
  <si>
    <t>Desserts</t>
  </si>
  <si>
    <t>Mattel</t>
  </si>
  <si>
    <t>Rhode</t>
  </si>
  <si>
    <t>Cosmetics</t>
  </si>
  <si>
    <t>Phone case</t>
  </si>
  <si>
    <t>Medicube</t>
  </si>
  <si>
    <t>Skincare</t>
  </si>
  <si>
    <t>VT COSMETICS</t>
  </si>
  <si>
    <t>Dyson</t>
  </si>
  <si>
    <t>Spotify</t>
  </si>
  <si>
    <t>Rare Beauty</t>
  </si>
  <si>
    <t>Kylie Cosmetics</t>
  </si>
  <si>
    <t>Nike, SKIMS</t>
  </si>
  <si>
    <t>Sportswear</t>
  </si>
  <si>
    <t>Cracker Barrel</t>
  </si>
  <si>
    <t>Restaurant</t>
  </si>
  <si>
    <t>Amazon</t>
  </si>
  <si>
    <t>Marketplace</t>
  </si>
  <si>
    <t>L’Oréal</t>
  </si>
  <si>
    <t>Swatch</t>
  </si>
  <si>
    <t>Watches</t>
  </si>
  <si>
    <t>Sanex</t>
  </si>
  <si>
    <t>E.l.f. Cosmetics</t>
  </si>
  <si>
    <t>Stanley</t>
  </si>
  <si>
    <t>Cup</t>
  </si>
  <si>
    <t>Maison Van Cleef &amp; Arples</t>
  </si>
  <si>
    <t>Bracelet</t>
  </si>
  <si>
    <t>VeriSource</t>
  </si>
  <si>
    <t>Quaker Oats</t>
  </si>
  <si>
    <t>Pre-made food</t>
  </si>
  <si>
    <t>Qatar Airways</t>
  </si>
  <si>
    <t>HYBE</t>
  </si>
  <si>
    <t>Entertainment</t>
  </si>
  <si>
    <t>Music</t>
  </si>
  <si>
    <t>HBO Max</t>
  </si>
  <si>
    <t>Streaming</t>
  </si>
  <si>
    <t>Fix Dessert Chocolatier</t>
  </si>
  <si>
    <t>Four Seasons Resort Koh Samui</t>
  </si>
  <si>
    <t>Hotel</t>
  </si>
  <si>
    <t>Xiaomi</t>
  </si>
  <si>
    <t>Huawei</t>
  </si>
  <si>
    <t>Apple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</si>
</sst>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T39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3" width="20.77734375" customWidth="1"/>
  </cols>
  <sheetData>
    <row r="1" spans="1:98" x14ac:dyDescent="0.25">
      <c r="A1" s="1" t="s">
        <v>0</v>
      </c>
      <c r="B1" s="1" t="s">
        <v>1</v>
      </c>
      <c r="C1" s="1" t="s">
        <v>2</v>
      </c>
      <c r="D1" s="2">
        <v>45261</v>
      </c>
      <c r="E1" s="2">
        <v>45292</v>
      </c>
      <c r="F1" s="2">
        <v>45323</v>
      </c>
      <c r="G1" s="2">
        <v>45352</v>
      </c>
      <c r="H1" s="2">
        <v>45383</v>
      </c>
      <c r="I1" s="2">
        <v>45413</v>
      </c>
      <c r="J1" s="2">
        <v>45444</v>
      </c>
      <c r="K1" s="2">
        <v>45474</v>
      </c>
      <c r="L1" s="2">
        <v>45505</v>
      </c>
      <c r="M1" s="2">
        <v>45536</v>
      </c>
      <c r="N1" s="2">
        <v>45566</v>
      </c>
      <c r="O1" s="2">
        <v>45597</v>
      </c>
      <c r="P1" s="2">
        <v>45627</v>
      </c>
      <c r="Q1" s="2">
        <v>45658</v>
      </c>
      <c r="R1" s="2">
        <v>45689</v>
      </c>
      <c r="S1" s="2">
        <v>45717</v>
      </c>
      <c r="T1" s="2">
        <v>45748</v>
      </c>
      <c r="U1" s="2">
        <v>45778</v>
      </c>
      <c r="V1" s="2">
        <v>45809</v>
      </c>
      <c r="W1" s="2">
        <v>45839</v>
      </c>
      <c r="X1" s="2">
        <v>45870</v>
      </c>
      <c r="Y1" s="2">
        <v>45901</v>
      </c>
      <c r="Z1" s="2">
        <v>45931</v>
      </c>
      <c r="AA1" s="2">
        <v>45962</v>
      </c>
      <c r="AB1" s="1" t="s">
        <v>3</v>
      </c>
      <c r="AC1" s="1" t="s">
        <v>4</v>
      </c>
      <c r="AD1" s="1" t="s">
        <v>5</v>
      </c>
      <c r="AE1" s="1" t="s">
        <v>6</v>
      </c>
      <c r="AF1" s="1" t="s">
        <v>7</v>
      </c>
      <c r="AG1" s="1" t="s">
        <v>8</v>
      </c>
      <c r="AH1" s="1" t="s">
        <v>9</v>
      </c>
      <c r="AI1" s="1" t="s">
        <v>10</v>
      </c>
      <c r="AJ1" s="1" t="s">
        <v>11</v>
      </c>
      <c r="AK1" s="1" t="s">
        <v>12</v>
      </c>
      <c r="AL1" s="1" t="s">
        <v>13</v>
      </c>
      <c r="AM1" s="1" t="s">
        <v>14</v>
      </c>
      <c r="AN1" s="1" t="s">
        <v>15</v>
      </c>
      <c r="AO1" s="1" t="s">
        <v>16</v>
      </c>
      <c r="AP1" s="1" t="s">
        <v>17</v>
      </c>
      <c r="AQ1" s="1" t="s">
        <v>18</v>
      </c>
      <c r="AR1" s="1" t="s">
        <v>19</v>
      </c>
      <c r="AS1" s="1" t="s">
        <v>20</v>
      </c>
      <c r="AT1" s="1" t="s">
        <v>21</v>
      </c>
      <c r="AU1" s="1" t="s">
        <v>22</v>
      </c>
      <c r="AV1" s="1" t="s">
        <v>23</v>
      </c>
      <c r="AW1" s="1" t="s">
        <v>24</v>
      </c>
      <c r="AX1" s="1" t="s">
        <v>25</v>
      </c>
      <c r="AY1" s="1" t="s">
        <v>26</v>
      </c>
      <c r="AZ1" s="1" t="s">
        <v>27</v>
      </c>
      <c r="BA1" s="1" t="s">
        <v>28</v>
      </c>
      <c r="BB1" s="1" t="s">
        <v>29</v>
      </c>
      <c r="BC1" s="1" t="s">
        <v>30</v>
      </c>
      <c r="BD1" s="1" t="s">
        <v>31</v>
      </c>
      <c r="BE1" s="1" t="s">
        <v>32</v>
      </c>
      <c r="BF1" s="1" t="s">
        <v>33</v>
      </c>
      <c r="BG1" s="1" t="s">
        <v>34</v>
      </c>
      <c r="BH1" s="1" t="s">
        <v>35</v>
      </c>
      <c r="BI1" s="1" t="s">
        <v>36</v>
      </c>
      <c r="BJ1" s="1" t="s">
        <v>37</v>
      </c>
      <c r="BK1" s="1" t="s">
        <v>38</v>
      </c>
      <c r="BL1" s="1" t="s">
        <v>39</v>
      </c>
      <c r="BM1" s="1" t="s">
        <v>40</v>
      </c>
      <c r="BN1" s="1" t="s">
        <v>41</v>
      </c>
      <c r="BO1" s="1" t="s">
        <v>42</v>
      </c>
      <c r="BP1" s="1" t="s">
        <v>43</v>
      </c>
      <c r="BQ1" s="1" t="s">
        <v>44</v>
      </c>
      <c r="BR1" s="1" t="s">
        <v>45</v>
      </c>
      <c r="BS1" s="1" t="s">
        <v>46</v>
      </c>
      <c r="BT1" s="1" t="s">
        <v>47</v>
      </c>
      <c r="BU1" s="1" t="s">
        <v>48</v>
      </c>
      <c r="BV1" s="1" t="s">
        <v>49</v>
      </c>
      <c r="BW1" s="1" t="s">
        <v>50</v>
      </c>
      <c r="BX1" s="1" t="s">
        <v>51</v>
      </c>
      <c r="BY1" s="1" t="s">
        <v>52</v>
      </c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</row>
    <row r="2" spans="1:98" x14ac:dyDescent="0.25">
      <c r="A2" s="1" t="s">
        <v>53</v>
      </c>
      <c r="B2" s="1" t="s">
        <v>54</v>
      </c>
      <c r="C2" s="1" t="s">
        <v>55</v>
      </c>
      <c r="D2" s="1">
        <v>700</v>
      </c>
      <c r="E2" s="1">
        <v>700</v>
      </c>
      <c r="F2" s="1">
        <v>1300</v>
      </c>
      <c r="G2" s="1">
        <v>1700</v>
      </c>
      <c r="H2" s="1">
        <v>6200</v>
      </c>
      <c r="I2" s="1">
        <v>5300</v>
      </c>
      <c r="J2" s="1">
        <v>3600</v>
      </c>
      <c r="K2" s="1">
        <v>12500</v>
      </c>
      <c r="L2" s="1">
        <v>9900</v>
      </c>
      <c r="M2" s="1">
        <v>35900</v>
      </c>
      <c r="N2" s="1">
        <v>74300</v>
      </c>
      <c r="O2" s="1">
        <v>74800</v>
      </c>
      <c r="P2" s="1">
        <v>63600</v>
      </c>
      <c r="Q2" s="1">
        <v>50200</v>
      </c>
      <c r="R2" s="1">
        <v>50800</v>
      </c>
      <c r="S2" s="1">
        <v>93000</v>
      </c>
      <c r="T2" s="1">
        <v>102200</v>
      </c>
      <c r="U2" s="1">
        <v>191600</v>
      </c>
      <c r="V2" s="1">
        <v>678600</v>
      </c>
      <c r="W2" s="1">
        <v>558100</v>
      </c>
      <c r="X2" s="1">
        <v>428200</v>
      </c>
      <c r="Y2" s="1">
        <v>367300</v>
      </c>
      <c r="Z2" s="1">
        <v>196200</v>
      </c>
      <c r="AA2" s="1">
        <v>161100</v>
      </c>
      <c r="AB2" s="3">
        <f t="shared" ref="AB2:AB39" si="0">AVERAGE(D2:AA2)</f>
        <v>131991.66666666666</v>
      </c>
      <c r="AC2" s="1">
        <f t="shared" ref="AC2:AC39" si="1">STDEV(D2:AA2)</f>
        <v>188155.37500939891</v>
      </c>
      <c r="AD2" s="1">
        <f t="shared" ref="AD2:BA2" si="2">(D2-$AB2)/$AC2</f>
        <v>-0.69778323717889146</v>
      </c>
      <c r="AE2" s="1">
        <f t="shared" si="2"/>
        <v>-0.69778323717889146</v>
      </c>
      <c r="AF2" s="1">
        <f t="shared" si="2"/>
        <v>-0.69459438328635692</v>
      </c>
      <c r="AG2" s="1">
        <f t="shared" si="2"/>
        <v>-0.69246848069133404</v>
      </c>
      <c r="AH2" s="1">
        <f t="shared" si="2"/>
        <v>-0.66855207649732562</v>
      </c>
      <c r="AI2" s="1">
        <f t="shared" si="2"/>
        <v>-0.67333535733612737</v>
      </c>
      <c r="AJ2" s="1">
        <f t="shared" si="2"/>
        <v>-0.68237044336497499</v>
      </c>
      <c r="AK2" s="1">
        <f t="shared" si="2"/>
        <v>-0.63506911062571403</v>
      </c>
      <c r="AL2" s="1">
        <f t="shared" si="2"/>
        <v>-0.64888747749336328</v>
      </c>
      <c r="AM2" s="1">
        <f t="shared" si="2"/>
        <v>-0.51070380881687061</v>
      </c>
      <c r="AN2" s="1">
        <f t="shared" si="2"/>
        <v>-0.30661715969466613</v>
      </c>
      <c r="AO2" s="1">
        <f t="shared" si="2"/>
        <v>-0.30395978145088742</v>
      </c>
      <c r="AP2" s="1">
        <f t="shared" si="2"/>
        <v>-0.36348505411153043</v>
      </c>
      <c r="AQ2" s="1">
        <f t="shared" si="2"/>
        <v>-0.4347027910447997</v>
      </c>
      <c r="AR2" s="1">
        <f t="shared" si="2"/>
        <v>-0.43151393715226521</v>
      </c>
      <c r="AS2" s="1">
        <f t="shared" si="2"/>
        <v>-0.20723121337734257</v>
      </c>
      <c r="AT2" s="1">
        <f t="shared" si="2"/>
        <v>-0.15833545369181443</v>
      </c>
      <c r="AU2" s="1">
        <f t="shared" si="2"/>
        <v>0.31680377629581791</v>
      </c>
      <c r="AV2" s="1">
        <f t="shared" si="2"/>
        <v>2.9050901857362761</v>
      </c>
      <c r="AW2" s="1">
        <f t="shared" si="2"/>
        <v>2.2646620289856085</v>
      </c>
      <c r="AX2" s="1">
        <f t="shared" si="2"/>
        <v>1.574275161251901</v>
      </c>
      <c r="AY2" s="1">
        <f t="shared" si="2"/>
        <v>1.2506064911596546</v>
      </c>
      <c r="AZ2" s="1">
        <f t="shared" si="2"/>
        <v>0.34125165613858199</v>
      </c>
      <c r="BA2" s="1">
        <f t="shared" si="2"/>
        <v>0.15470370342531697</v>
      </c>
      <c r="BB2" s="1">
        <f t="shared" ref="BB2:BY2" si="3">IF(AD2&gt;=1,1,0)</f>
        <v>0</v>
      </c>
      <c r="BC2" s="1">
        <f t="shared" si="3"/>
        <v>0</v>
      </c>
      <c r="BD2" s="1">
        <f t="shared" si="3"/>
        <v>0</v>
      </c>
      <c r="BE2" s="1">
        <f t="shared" si="3"/>
        <v>0</v>
      </c>
      <c r="BF2" s="1">
        <f t="shared" si="3"/>
        <v>0</v>
      </c>
      <c r="BG2" s="1">
        <f t="shared" si="3"/>
        <v>0</v>
      </c>
      <c r="BH2" s="1">
        <f t="shared" si="3"/>
        <v>0</v>
      </c>
      <c r="BI2" s="1">
        <f t="shared" si="3"/>
        <v>0</v>
      </c>
      <c r="BJ2" s="1">
        <f t="shared" si="3"/>
        <v>0</v>
      </c>
      <c r="BK2" s="1">
        <f t="shared" si="3"/>
        <v>0</v>
      </c>
      <c r="BL2" s="1">
        <f t="shared" si="3"/>
        <v>0</v>
      </c>
      <c r="BM2" s="1">
        <f t="shared" si="3"/>
        <v>0</v>
      </c>
      <c r="BN2" s="1">
        <f t="shared" si="3"/>
        <v>0</v>
      </c>
      <c r="BO2" s="1">
        <f t="shared" si="3"/>
        <v>0</v>
      </c>
      <c r="BP2" s="1">
        <f t="shared" si="3"/>
        <v>0</v>
      </c>
      <c r="BQ2" s="1">
        <f t="shared" si="3"/>
        <v>0</v>
      </c>
      <c r="BR2" s="1">
        <f t="shared" si="3"/>
        <v>0</v>
      </c>
      <c r="BS2" s="1">
        <f t="shared" si="3"/>
        <v>0</v>
      </c>
      <c r="BT2" s="1">
        <f t="shared" si="3"/>
        <v>1</v>
      </c>
      <c r="BU2" s="1">
        <f t="shared" si="3"/>
        <v>1</v>
      </c>
      <c r="BV2" s="1">
        <f t="shared" si="3"/>
        <v>1</v>
      </c>
      <c r="BW2" s="1">
        <f t="shared" si="3"/>
        <v>1</v>
      </c>
      <c r="BX2" s="1">
        <f t="shared" si="3"/>
        <v>0</v>
      </c>
      <c r="BY2" s="1">
        <f t="shared" si="3"/>
        <v>0</v>
      </c>
    </row>
    <row r="3" spans="1:98" x14ac:dyDescent="0.25">
      <c r="A3" s="1" t="s">
        <v>56</v>
      </c>
      <c r="B3" s="1" t="s">
        <v>54</v>
      </c>
      <c r="C3" s="1" t="s">
        <v>57</v>
      </c>
      <c r="D3" s="1">
        <v>9700</v>
      </c>
      <c r="E3" s="1">
        <v>16100</v>
      </c>
      <c r="F3" s="1">
        <v>9500</v>
      </c>
      <c r="G3" s="1">
        <v>17700</v>
      </c>
      <c r="H3" s="1">
        <v>16300</v>
      </c>
      <c r="I3" s="1">
        <v>11700</v>
      </c>
      <c r="J3" s="1">
        <v>13600</v>
      </c>
      <c r="K3" s="1">
        <v>19400</v>
      </c>
      <c r="L3" s="1">
        <v>15900</v>
      </c>
      <c r="M3" s="1">
        <v>28300</v>
      </c>
      <c r="N3" s="1">
        <v>21300</v>
      </c>
      <c r="O3" s="1">
        <v>27800</v>
      </c>
      <c r="P3" s="1">
        <v>34600</v>
      </c>
      <c r="Q3" s="1">
        <v>28800</v>
      </c>
      <c r="R3" s="1">
        <v>19400</v>
      </c>
      <c r="S3" s="1">
        <v>44800</v>
      </c>
      <c r="T3" s="1">
        <v>26800</v>
      </c>
      <c r="U3" s="1">
        <v>32200</v>
      </c>
      <c r="V3" s="1">
        <v>52700</v>
      </c>
      <c r="W3" s="1">
        <v>33000</v>
      </c>
      <c r="X3" s="1">
        <v>18800</v>
      </c>
      <c r="Y3" s="1">
        <v>26100</v>
      </c>
      <c r="Z3" s="1">
        <v>31400</v>
      </c>
      <c r="AA3" s="1">
        <v>15400</v>
      </c>
      <c r="AB3" s="3">
        <f t="shared" si="0"/>
        <v>23804.166666666668</v>
      </c>
      <c r="AC3" s="1">
        <f t="shared" si="1"/>
        <v>10816.230926218032</v>
      </c>
      <c r="AD3" s="1">
        <f t="shared" ref="AD3:BA3" si="4">(D3-$AB3)/$AC3</f>
        <v>-1.3039816515454414</v>
      </c>
      <c r="AE3" s="1">
        <f t="shared" si="4"/>
        <v>-0.71227830833309347</v>
      </c>
      <c r="AF3" s="1">
        <f t="shared" si="4"/>
        <v>-1.3224723810208272</v>
      </c>
      <c r="AG3" s="1">
        <f t="shared" si="4"/>
        <v>-0.56435247253000642</v>
      </c>
      <c r="AH3" s="1">
        <f t="shared" si="4"/>
        <v>-0.69378757885770759</v>
      </c>
      <c r="AI3" s="1">
        <f t="shared" si="4"/>
        <v>-1.1190743567915826</v>
      </c>
      <c r="AJ3" s="1">
        <f t="shared" si="4"/>
        <v>-0.94341242677541681</v>
      </c>
      <c r="AK3" s="1">
        <f t="shared" si="4"/>
        <v>-0.40718127198922655</v>
      </c>
      <c r="AL3" s="1">
        <f t="shared" si="4"/>
        <v>-0.73076903780847935</v>
      </c>
      <c r="AM3" s="1">
        <f t="shared" si="4"/>
        <v>0.41565618966544482</v>
      </c>
      <c r="AN3" s="1">
        <f t="shared" si="4"/>
        <v>-0.23151934197306073</v>
      </c>
      <c r="AO3" s="1">
        <f t="shared" si="4"/>
        <v>0.36942936597698017</v>
      </c>
      <c r="AP3" s="1">
        <f t="shared" si="4"/>
        <v>0.99811416814009979</v>
      </c>
      <c r="AQ3" s="1">
        <f t="shared" si="4"/>
        <v>0.46188301335390952</v>
      </c>
      <c r="AR3" s="1">
        <f t="shared" si="4"/>
        <v>-0.40718127198922655</v>
      </c>
      <c r="AS3" s="1">
        <f t="shared" si="4"/>
        <v>1.9411413713847794</v>
      </c>
      <c r="AT3" s="1">
        <f t="shared" si="4"/>
        <v>0.27697571860005077</v>
      </c>
      <c r="AU3" s="1">
        <f t="shared" si="4"/>
        <v>0.77622541443546933</v>
      </c>
      <c r="AV3" s="1">
        <f t="shared" si="4"/>
        <v>2.6715251856625213</v>
      </c>
      <c r="AW3" s="1">
        <f t="shared" si="4"/>
        <v>0.85018833233701285</v>
      </c>
      <c r="AX3" s="1">
        <f t="shared" si="4"/>
        <v>-0.46265346041538413</v>
      </c>
      <c r="AY3" s="1">
        <f t="shared" si="4"/>
        <v>0.21225816543620021</v>
      </c>
      <c r="AZ3" s="1">
        <f t="shared" si="4"/>
        <v>0.70226249653392592</v>
      </c>
      <c r="BA3" s="1">
        <f t="shared" si="4"/>
        <v>-0.776995861496944</v>
      </c>
      <c r="BB3" s="1">
        <f t="shared" ref="BB3:BY3" si="5">IF(AD3&gt;=1,1,0)</f>
        <v>0</v>
      </c>
      <c r="BC3" s="1">
        <f t="shared" si="5"/>
        <v>0</v>
      </c>
      <c r="BD3" s="1">
        <f t="shared" si="5"/>
        <v>0</v>
      </c>
      <c r="BE3" s="1">
        <f t="shared" si="5"/>
        <v>0</v>
      </c>
      <c r="BF3" s="1">
        <f t="shared" si="5"/>
        <v>0</v>
      </c>
      <c r="BG3" s="1">
        <f t="shared" si="5"/>
        <v>0</v>
      </c>
      <c r="BH3" s="1">
        <f t="shared" si="5"/>
        <v>0</v>
      </c>
      <c r="BI3" s="1">
        <f t="shared" si="5"/>
        <v>0</v>
      </c>
      <c r="BJ3" s="1">
        <f t="shared" si="5"/>
        <v>0</v>
      </c>
      <c r="BK3" s="1">
        <f t="shared" si="5"/>
        <v>0</v>
      </c>
      <c r="BL3" s="1">
        <f t="shared" si="5"/>
        <v>0</v>
      </c>
      <c r="BM3" s="1">
        <f t="shared" si="5"/>
        <v>0</v>
      </c>
      <c r="BN3" s="1">
        <f t="shared" si="5"/>
        <v>0</v>
      </c>
      <c r="BO3" s="1">
        <f t="shared" si="5"/>
        <v>0</v>
      </c>
      <c r="BP3" s="1">
        <f t="shared" si="5"/>
        <v>0</v>
      </c>
      <c r="BQ3" s="1">
        <f t="shared" si="5"/>
        <v>1</v>
      </c>
      <c r="BR3" s="1">
        <f t="shared" si="5"/>
        <v>0</v>
      </c>
      <c r="BS3" s="1">
        <f t="shared" si="5"/>
        <v>0</v>
      </c>
      <c r="BT3" s="1">
        <f t="shared" si="5"/>
        <v>1</v>
      </c>
      <c r="BU3" s="1">
        <f t="shared" si="5"/>
        <v>0</v>
      </c>
      <c r="BV3" s="1">
        <f t="shared" si="5"/>
        <v>0</v>
      </c>
      <c r="BW3" s="1">
        <f t="shared" si="5"/>
        <v>0</v>
      </c>
      <c r="BX3" s="1">
        <f t="shared" si="5"/>
        <v>0</v>
      </c>
      <c r="BY3" s="1">
        <f t="shared" si="5"/>
        <v>0</v>
      </c>
    </row>
    <row r="4" spans="1:98" x14ac:dyDescent="0.25">
      <c r="A4" s="1" t="s">
        <v>58</v>
      </c>
      <c r="B4" s="1" t="s">
        <v>59</v>
      </c>
      <c r="C4" s="1" t="s">
        <v>54</v>
      </c>
      <c r="D4" s="1">
        <v>64000</v>
      </c>
      <c r="E4" s="1">
        <v>100600</v>
      </c>
      <c r="F4" s="1">
        <v>68300</v>
      </c>
      <c r="G4" s="1">
        <v>74100</v>
      </c>
      <c r="H4" s="1">
        <v>86700</v>
      </c>
      <c r="I4" s="1">
        <v>70900</v>
      </c>
      <c r="J4" s="1">
        <v>74600</v>
      </c>
      <c r="K4" s="1">
        <v>89400</v>
      </c>
      <c r="L4" s="1">
        <v>69300</v>
      </c>
      <c r="M4" s="1">
        <v>78700</v>
      </c>
      <c r="N4" s="1">
        <v>73200</v>
      </c>
      <c r="O4" s="1">
        <v>99400</v>
      </c>
      <c r="P4" s="1">
        <v>130400</v>
      </c>
      <c r="Q4" s="1">
        <v>112900</v>
      </c>
      <c r="R4" s="1">
        <v>76300</v>
      </c>
      <c r="S4" s="1">
        <v>158000</v>
      </c>
      <c r="T4" s="1">
        <v>80700</v>
      </c>
      <c r="U4" s="1">
        <v>131400</v>
      </c>
      <c r="V4" s="1">
        <v>108100</v>
      </c>
      <c r="W4" s="1">
        <v>77700</v>
      </c>
      <c r="X4" s="1">
        <v>56800</v>
      </c>
      <c r="Y4" s="1">
        <v>69600</v>
      </c>
      <c r="Z4" s="1">
        <v>57900</v>
      </c>
      <c r="AA4" s="1">
        <v>60600</v>
      </c>
      <c r="AB4" s="3">
        <f t="shared" si="0"/>
        <v>86233.333333333328</v>
      </c>
      <c r="AC4" s="1">
        <f t="shared" si="1"/>
        <v>25852.704284863124</v>
      </c>
      <c r="AD4" s="1">
        <f t="shared" ref="AD4:BA4" si="6">(D4-$AB4)/$AC4</f>
        <v>-0.86000029584336546</v>
      </c>
      <c r="AE4" s="1">
        <f t="shared" si="6"/>
        <v>0.55571233509518847</v>
      </c>
      <c r="AF4" s="1">
        <f t="shared" si="6"/>
        <v>-0.69367340204457362</v>
      </c>
      <c r="AG4" s="1">
        <f t="shared" si="6"/>
        <v>-0.46932549878108692</v>
      </c>
      <c r="AH4" s="1">
        <f t="shared" si="6"/>
        <v>1.8050980722349692E-2</v>
      </c>
      <c r="AI4" s="1">
        <f t="shared" si="6"/>
        <v>-0.59310365230576922</v>
      </c>
      <c r="AJ4" s="1">
        <f t="shared" si="6"/>
        <v>-0.44998516229285529</v>
      </c>
      <c r="AK4" s="1">
        <f t="shared" si="6"/>
        <v>0.12248879775880039</v>
      </c>
      <c r="AL4" s="1">
        <f t="shared" si="6"/>
        <v>-0.65499272906811035</v>
      </c>
      <c r="AM4" s="1">
        <f t="shared" si="6"/>
        <v>-0.2913944030893561</v>
      </c>
      <c r="AN4" s="1">
        <f t="shared" si="6"/>
        <v>-0.50413810445990381</v>
      </c>
      <c r="AO4" s="1">
        <f t="shared" si="6"/>
        <v>0.50929552752343266</v>
      </c>
      <c r="AP4" s="1">
        <f t="shared" si="6"/>
        <v>1.7083963897937924</v>
      </c>
      <c r="AQ4" s="1">
        <f t="shared" si="6"/>
        <v>1.031484612705686</v>
      </c>
      <c r="AR4" s="1">
        <f t="shared" si="6"/>
        <v>-0.38422801823286784</v>
      </c>
      <c r="AS4" s="1">
        <f t="shared" si="6"/>
        <v>2.7759829639441773</v>
      </c>
      <c r="AT4" s="1">
        <f t="shared" si="6"/>
        <v>-0.21403305713642964</v>
      </c>
      <c r="AU4" s="1">
        <f t="shared" si="6"/>
        <v>1.7470770627702557</v>
      </c>
      <c r="AV4" s="1">
        <f t="shared" si="6"/>
        <v>0.84581738241866267</v>
      </c>
      <c r="AW4" s="1">
        <f t="shared" si="6"/>
        <v>-0.33007507606581932</v>
      </c>
      <c r="AX4" s="1">
        <f t="shared" si="6"/>
        <v>-1.1385011412739006</v>
      </c>
      <c r="AY4" s="1">
        <f t="shared" si="6"/>
        <v>-0.64338852717517137</v>
      </c>
      <c r="AZ4" s="1">
        <f t="shared" si="6"/>
        <v>-1.0959524009997912</v>
      </c>
      <c r="BA4" s="1">
        <f t="shared" si="6"/>
        <v>-0.99151458396334036</v>
      </c>
      <c r="BB4" s="1">
        <f t="shared" ref="BB4:BY4" si="7">IF(AD4&gt;=1,1,0)</f>
        <v>0</v>
      </c>
      <c r="BC4" s="1">
        <f t="shared" si="7"/>
        <v>0</v>
      </c>
      <c r="BD4" s="1">
        <f t="shared" si="7"/>
        <v>0</v>
      </c>
      <c r="BE4" s="1">
        <f t="shared" si="7"/>
        <v>0</v>
      </c>
      <c r="BF4" s="1">
        <f t="shared" si="7"/>
        <v>0</v>
      </c>
      <c r="BG4" s="1">
        <f t="shared" si="7"/>
        <v>0</v>
      </c>
      <c r="BH4" s="1">
        <f t="shared" si="7"/>
        <v>0</v>
      </c>
      <c r="BI4" s="1">
        <f t="shared" si="7"/>
        <v>0</v>
      </c>
      <c r="BJ4" s="1">
        <f t="shared" si="7"/>
        <v>0</v>
      </c>
      <c r="BK4" s="1">
        <f t="shared" si="7"/>
        <v>0</v>
      </c>
      <c r="BL4" s="1">
        <f t="shared" si="7"/>
        <v>0</v>
      </c>
      <c r="BM4" s="1">
        <f t="shared" si="7"/>
        <v>0</v>
      </c>
      <c r="BN4" s="1">
        <f t="shared" si="7"/>
        <v>1</v>
      </c>
      <c r="BO4" s="1">
        <f t="shared" si="7"/>
        <v>1</v>
      </c>
      <c r="BP4" s="1">
        <f t="shared" si="7"/>
        <v>0</v>
      </c>
      <c r="BQ4" s="1">
        <f t="shared" si="7"/>
        <v>1</v>
      </c>
      <c r="BR4" s="1">
        <f t="shared" si="7"/>
        <v>0</v>
      </c>
      <c r="BS4" s="1">
        <f t="shared" si="7"/>
        <v>1</v>
      </c>
      <c r="BT4" s="1">
        <f t="shared" si="7"/>
        <v>0</v>
      </c>
      <c r="BU4" s="1">
        <f t="shared" si="7"/>
        <v>0</v>
      </c>
      <c r="BV4" s="1">
        <f t="shared" si="7"/>
        <v>0</v>
      </c>
      <c r="BW4" s="1">
        <f t="shared" si="7"/>
        <v>0</v>
      </c>
      <c r="BX4" s="1">
        <f t="shared" si="7"/>
        <v>0</v>
      </c>
      <c r="BY4" s="1">
        <f t="shared" si="7"/>
        <v>0</v>
      </c>
    </row>
    <row r="5" spans="1:98" x14ac:dyDescent="0.25">
      <c r="A5" s="1" t="s">
        <v>60</v>
      </c>
      <c r="B5" s="1" t="s">
        <v>59</v>
      </c>
      <c r="C5" s="1" t="s">
        <v>54</v>
      </c>
      <c r="D5" s="1">
        <v>464100</v>
      </c>
      <c r="E5" s="1">
        <v>738600</v>
      </c>
      <c r="F5" s="1">
        <v>573200</v>
      </c>
      <c r="G5" s="1">
        <v>1282900</v>
      </c>
      <c r="H5" s="1">
        <v>1756400</v>
      </c>
      <c r="I5" s="1">
        <v>118100</v>
      </c>
      <c r="J5" s="1">
        <v>94800</v>
      </c>
      <c r="K5" s="1">
        <v>98900</v>
      </c>
      <c r="L5" s="1">
        <v>94600</v>
      </c>
      <c r="M5" s="1">
        <v>145400</v>
      </c>
      <c r="N5" s="1">
        <v>130400</v>
      </c>
      <c r="O5" s="1">
        <v>122800</v>
      </c>
      <c r="P5" s="1">
        <v>147900</v>
      </c>
      <c r="Q5" s="1">
        <v>236400</v>
      </c>
      <c r="R5" s="1">
        <v>116200</v>
      </c>
      <c r="S5" s="1">
        <v>184900</v>
      </c>
      <c r="T5" s="1">
        <v>110900</v>
      </c>
      <c r="U5" s="1">
        <v>208000</v>
      </c>
      <c r="V5" s="1">
        <v>308800</v>
      </c>
      <c r="W5" s="1">
        <v>90200</v>
      </c>
      <c r="X5" s="1">
        <v>37500</v>
      </c>
      <c r="Y5" s="1">
        <v>54400</v>
      </c>
      <c r="Z5" s="1">
        <v>34900</v>
      </c>
      <c r="AA5" s="1">
        <v>31500</v>
      </c>
      <c r="AB5" s="3">
        <f t="shared" si="0"/>
        <v>299241.66666666669</v>
      </c>
      <c r="AC5" s="1">
        <f t="shared" si="1"/>
        <v>419996.31149173994</v>
      </c>
      <c r="AD5" s="1">
        <f t="shared" ref="AD5:BA5" si="8">(D5-$AB5)/$AC5</f>
        <v>0.39252328847315504</v>
      </c>
      <c r="AE5" s="1">
        <f t="shared" si="8"/>
        <v>1.0461004568654984</v>
      </c>
      <c r="AF5" s="1">
        <f t="shared" si="8"/>
        <v>0.6522874745263596</v>
      </c>
      <c r="AG5" s="1">
        <f t="shared" si="8"/>
        <v>2.3420642191822649</v>
      </c>
      <c r="AH5" s="1">
        <f t="shared" si="8"/>
        <v>3.4694550724929192</v>
      </c>
      <c r="AI5" s="1">
        <f t="shared" si="8"/>
        <v>-0.43129347022903364</v>
      </c>
      <c r="AJ5" s="1">
        <f t="shared" si="8"/>
        <v>-0.48677014791042383</v>
      </c>
      <c r="AK5" s="1">
        <f t="shared" si="8"/>
        <v>-0.47700815741713198</v>
      </c>
      <c r="AL5" s="1">
        <f t="shared" si="8"/>
        <v>-0.4872463425686332</v>
      </c>
      <c r="AM5" s="1">
        <f t="shared" si="8"/>
        <v>-0.36629289938345633</v>
      </c>
      <c r="AN5" s="1">
        <f t="shared" si="8"/>
        <v>-0.40200749874915814</v>
      </c>
      <c r="AO5" s="1">
        <f t="shared" si="8"/>
        <v>-0.42010289576111376</v>
      </c>
      <c r="AP5" s="1">
        <f t="shared" si="8"/>
        <v>-0.36034046615583937</v>
      </c>
      <c r="AQ5" s="1">
        <f t="shared" si="8"/>
        <v>-0.14962432989819863</v>
      </c>
      <c r="AR5" s="1">
        <f t="shared" si="8"/>
        <v>-0.43581731948202257</v>
      </c>
      <c r="AS5" s="1">
        <f t="shared" si="8"/>
        <v>-0.2722444543871082</v>
      </c>
      <c r="AT5" s="1">
        <f t="shared" si="8"/>
        <v>-0.44843647792457053</v>
      </c>
      <c r="AU5" s="1">
        <f t="shared" si="8"/>
        <v>-0.2172439713639274</v>
      </c>
      <c r="AV5" s="1">
        <f t="shared" si="8"/>
        <v>2.2758136373588839E-2</v>
      </c>
      <c r="AW5" s="1">
        <f t="shared" si="8"/>
        <v>-0.49772262504923903</v>
      </c>
      <c r="AX5" s="1">
        <f t="shared" si="8"/>
        <v>-0.62319991748740478</v>
      </c>
      <c r="AY5" s="1">
        <f t="shared" si="8"/>
        <v>-0.58296146886871403</v>
      </c>
      <c r="AZ5" s="1">
        <f t="shared" si="8"/>
        <v>-0.62939044804412647</v>
      </c>
      <c r="BA5" s="1">
        <f t="shared" si="8"/>
        <v>-0.6374857572336855</v>
      </c>
      <c r="BB5" s="1">
        <f t="shared" ref="BB5:BY5" si="9">IF(AD5&gt;=1,1,0)</f>
        <v>0</v>
      </c>
      <c r="BC5" s="1">
        <f t="shared" si="9"/>
        <v>1</v>
      </c>
      <c r="BD5" s="1">
        <f t="shared" si="9"/>
        <v>0</v>
      </c>
      <c r="BE5" s="1">
        <f t="shared" si="9"/>
        <v>1</v>
      </c>
      <c r="BF5" s="1">
        <f t="shared" si="9"/>
        <v>1</v>
      </c>
      <c r="BG5" s="1">
        <f t="shared" si="9"/>
        <v>0</v>
      </c>
      <c r="BH5" s="1">
        <f t="shared" si="9"/>
        <v>0</v>
      </c>
      <c r="BI5" s="1">
        <f t="shared" si="9"/>
        <v>0</v>
      </c>
      <c r="BJ5" s="1">
        <f t="shared" si="9"/>
        <v>0</v>
      </c>
      <c r="BK5" s="1">
        <f t="shared" si="9"/>
        <v>0</v>
      </c>
      <c r="BL5" s="1">
        <f t="shared" si="9"/>
        <v>0</v>
      </c>
      <c r="BM5" s="1">
        <f t="shared" si="9"/>
        <v>0</v>
      </c>
      <c r="BN5" s="1">
        <f t="shared" si="9"/>
        <v>0</v>
      </c>
      <c r="BO5" s="1">
        <f t="shared" si="9"/>
        <v>0</v>
      </c>
      <c r="BP5" s="1">
        <f t="shared" si="9"/>
        <v>0</v>
      </c>
      <c r="BQ5" s="1">
        <f t="shared" si="9"/>
        <v>0</v>
      </c>
      <c r="BR5" s="1">
        <f t="shared" si="9"/>
        <v>0</v>
      </c>
      <c r="BS5" s="1">
        <f t="shared" si="9"/>
        <v>0</v>
      </c>
      <c r="BT5" s="1">
        <f t="shared" si="9"/>
        <v>0</v>
      </c>
      <c r="BU5" s="1">
        <f t="shared" si="9"/>
        <v>0</v>
      </c>
      <c r="BV5" s="1">
        <f t="shared" si="9"/>
        <v>0</v>
      </c>
      <c r="BW5" s="1">
        <f t="shared" si="9"/>
        <v>0</v>
      </c>
      <c r="BX5" s="1">
        <f t="shared" si="9"/>
        <v>0</v>
      </c>
      <c r="BY5" s="1">
        <f t="shared" si="9"/>
        <v>0</v>
      </c>
    </row>
    <row r="6" spans="1:98" x14ac:dyDescent="0.25">
      <c r="A6" s="1" t="s">
        <v>61</v>
      </c>
      <c r="B6" s="1" t="s">
        <v>59</v>
      </c>
      <c r="C6" s="1" t="s">
        <v>54</v>
      </c>
      <c r="D6" s="1">
        <v>17300</v>
      </c>
      <c r="E6" s="1">
        <v>19700</v>
      </c>
      <c r="F6" s="1">
        <v>29300</v>
      </c>
      <c r="G6" s="1">
        <v>12900</v>
      </c>
      <c r="H6" s="1">
        <v>16500</v>
      </c>
      <c r="I6" s="1">
        <v>13300</v>
      </c>
      <c r="J6" s="1">
        <v>13100</v>
      </c>
      <c r="K6" s="1">
        <v>13400</v>
      </c>
      <c r="L6" s="1">
        <v>14500</v>
      </c>
      <c r="M6" s="1">
        <v>26600</v>
      </c>
      <c r="N6" s="1">
        <v>19700</v>
      </c>
      <c r="O6" s="1">
        <v>17800</v>
      </c>
      <c r="P6" s="1">
        <v>29900</v>
      </c>
      <c r="Q6" s="1">
        <v>28600</v>
      </c>
      <c r="R6" s="1">
        <v>20800</v>
      </c>
      <c r="S6" s="1">
        <v>35300</v>
      </c>
      <c r="T6" s="1">
        <v>10300</v>
      </c>
      <c r="U6" s="1">
        <v>19000</v>
      </c>
      <c r="V6" s="1">
        <v>43300</v>
      </c>
      <c r="W6" s="1">
        <v>7100</v>
      </c>
      <c r="X6" s="1">
        <v>2100</v>
      </c>
      <c r="Y6" s="1">
        <v>4400</v>
      </c>
      <c r="Z6" s="1">
        <v>2400</v>
      </c>
      <c r="AA6" s="1">
        <v>1300</v>
      </c>
      <c r="AB6" s="3">
        <f t="shared" si="0"/>
        <v>17441.666666666668</v>
      </c>
      <c r="AC6" s="1">
        <f t="shared" si="1"/>
        <v>10731.016268039459</v>
      </c>
      <c r="AD6" s="1">
        <f t="shared" ref="AD6:BA6" si="10">(D6-$AB6)/$AC6</f>
        <v>-1.3201607669592153E-2</v>
      </c>
      <c r="AE6" s="1">
        <f t="shared" si="10"/>
        <v>0.2104491575564377</v>
      </c>
      <c r="AF6" s="1">
        <f t="shared" si="10"/>
        <v>1.1050522184605571</v>
      </c>
      <c r="AG6" s="1">
        <f t="shared" si="10"/>
        <v>-0.42322801058398019</v>
      </c>
      <c r="AH6" s="1">
        <f t="shared" si="10"/>
        <v>-8.7751862744935433E-2</v>
      </c>
      <c r="AI6" s="1">
        <f t="shared" si="10"/>
        <v>-0.38595288304630859</v>
      </c>
      <c r="AJ6" s="1">
        <f t="shared" si="10"/>
        <v>-0.40459044681514439</v>
      </c>
      <c r="AK6" s="1">
        <f t="shared" si="10"/>
        <v>-0.37663410116189067</v>
      </c>
      <c r="AL6" s="1">
        <f t="shared" si="10"/>
        <v>-0.27412750043329365</v>
      </c>
      <c r="AM6" s="1">
        <f t="shared" si="10"/>
        <v>0.85344510758127357</v>
      </c>
      <c r="AN6" s="1">
        <f t="shared" si="10"/>
        <v>0.2104491575564377</v>
      </c>
      <c r="AO6" s="1">
        <f t="shared" si="10"/>
        <v>3.3392301752497397E-2</v>
      </c>
      <c r="AP6" s="1">
        <f t="shared" si="10"/>
        <v>1.1609649097670645</v>
      </c>
      <c r="AQ6" s="1">
        <f t="shared" si="10"/>
        <v>1.0398207452696318</v>
      </c>
      <c r="AR6" s="1">
        <f t="shared" si="10"/>
        <v>0.31295575828503469</v>
      </c>
      <c r="AS6" s="1">
        <f t="shared" si="10"/>
        <v>1.6641791315256318</v>
      </c>
      <c r="AT6" s="1">
        <f t="shared" si="10"/>
        <v>-0.66551633957884593</v>
      </c>
      <c r="AU6" s="1">
        <f t="shared" si="10"/>
        <v>0.14521768436551233</v>
      </c>
      <c r="AV6" s="1">
        <f t="shared" si="10"/>
        <v>2.4096816822790648</v>
      </c>
      <c r="AW6" s="1">
        <f t="shared" si="10"/>
        <v>-0.963717359880219</v>
      </c>
      <c r="AX6" s="1">
        <f t="shared" si="10"/>
        <v>-1.4296564541011145</v>
      </c>
      <c r="AY6" s="1">
        <f t="shared" si="10"/>
        <v>-1.2153244707595026</v>
      </c>
      <c r="AZ6" s="1">
        <f t="shared" si="10"/>
        <v>-1.4017001084478609</v>
      </c>
      <c r="BA6" s="1">
        <f t="shared" si="10"/>
        <v>-1.5042067091764577</v>
      </c>
      <c r="BB6" s="1">
        <f t="shared" ref="BB6:BY6" si="11">IF(AD6&gt;=1,1,0)</f>
        <v>0</v>
      </c>
      <c r="BC6" s="1">
        <f t="shared" si="11"/>
        <v>0</v>
      </c>
      <c r="BD6" s="1">
        <f t="shared" si="11"/>
        <v>1</v>
      </c>
      <c r="BE6" s="1">
        <f t="shared" si="11"/>
        <v>0</v>
      </c>
      <c r="BF6" s="1">
        <f t="shared" si="11"/>
        <v>0</v>
      </c>
      <c r="BG6" s="1">
        <f t="shared" si="11"/>
        <v>0</v>
      </c>
      <c r="BH6" s="1">
        <f t="shared" si="11"/>
        <v>0</v>
      </c>
      <c r="BI6" s="1">
        <f t="shared" si="11"/>
        <v>0</v>
      </c>
      <c r="BJ6" s="1">
        <f t="shared" si="11"/>
        <v>0</v>
      </c>
      <c r="BK6" s="1">
        <f t="shared" si="11"/>
        <v>0</v>
      </c>
      <c r="BL6" s="1">
        <f t="shared" si="11"/>
        <v>0</v>
      </c>
      <c r="BM6" s="1">
        <f t="shared" si="11"/>
        <v>0</v>
      </c>
      <c r="BN6" s="1">
        <f t="shared" si="11"/>
        <v>1</v>
      </c>
      <c r="BO6" s="1">
        <f t="shared" si="11"/>
        <v>1</v>
      </c>
      <c r="BP6" s="1">
        <f t="shared" si="11"/>
        <v>0</v>
      </c>
      <c r="BQ6" s="1">
        <f t="shared" si="11"/>
        <v>1</v>
      </c>
      <c r="BR6" s="1">
        <f t="shared" si="11"/>
        <v>0</v>
      </c>
      <c r="BS6" s="1">
        <f t="shared" si="11"/>
        <v>0</v>
      </c>
      <c r="BT6" s="1">
        <f t="shared" si="11"/>
        <v>1</v>
      </c>
      <c r="BU6" s="1">
        <f t="shared" si="11"/>
        <v>0</v>
      </c>
      <c r="BV6" s="1">
        <f t="shared" si="11"/>
        <v>0</v>
      </c>
      <c r="BW6" s="1">
        <f t="shared" si="11"/>
        <v>0</v>
      </c>
      <c r="BX6" s="1">
        <f t="shared" si="11"/>
        <v>0</v>
      </c>
      <c r="BY6" s="1">
        <f t="shared" si="11"/>
        <v>0</v>
      </c>
    </row>
    <row r="7" spans="1:98" x14ac:dyDescent="0.25">
      <c r="A7" s="1" t="s">
        <v>62</v>
      </c>
      <c r="B7" s="1" t="s">
        <v>63</v>
      </c>
      <c r="C7" s="1" t="s">
        <v>64</v>
      </c>
      <c r="D7" s="1">
        <v>2700</v>
      </c>
      <c r="E7" s="1">
        <v>4100</v>
      </c>
      <c r="F7" s="1">
        <v>2300</v>
      </c>
      <c r="G7" s="1">
        <v>2300</v>
      </c>
      <c r="H7" s="1">
        <v>3200</v>
      </c>
      <c r="I7" s="1">
        <v>3700</v>
      </c>
      <c r="J7" s="1">
        <v>5000</v>
      </c>
      <c r="K7" s="1">
        <v>8100</v>
      </c>
      <c r="L7" s="1">
        <v>5800</v>
      </c>
      <c r="M7" s="1">
        <v>4800</v>
      </c>
      <c r="N7" s="1">
        <v>3300</v>
      </c>
      <c r="O7" s="1">
        <v>4300</v>
      </c>
      <c r="P7" s="1">
        <v>5300</v>
      </c>
      <c r="Q7" s="1">
        <v>5100</v>
      </c>
      <c r="R7" s="1">
        <v>4800</v>
      </c>
      <c r="S7" s="1">
        <v>6800</v>
      </c>
      <c r="T7" s="1">
        <v>5800</v>
      </c>
      <c r="U7" s="1">
        <v>6900</v>
      </c>
      <c r="V7" s="1">
        <v>12400</v>
      </c>
      <c r="W7" s="1">
        <v>8300</v>
      </c>
      <c r="X7" s="1">
        <v>6400</v>
      </c>
      <c r="Y7" s="1">
        <v>7000</v>
      </c>
      <c r="Z7" s="1">
        <v>5200</v>
      </c>
      <c r="AA7" s="1">
        <v>8400</v>
      </c>
      <c r="AB7" s="3">
        <f t="shared" si="0"/>
        <v>5500</v>
      </c>
      <c r="AC7" s="1">
        <f t="shared" si="1"/>
        <v>2323.0414845909304</v>
      </c>
      <c r="AD7" s="1">
        <f t="shared" ref="AD7:BA7" si="12">(D7-$AB7)/$AC7</f>
        <v>-1.2053164003194967</v>
      </c>
      <c r="AE7" s="1">
        <f t="shared" si="12"/>
        <v>-0.60265820015974836</v>
      </c>
      <c r="AF7" s="1">
        <f t="shared" si="12"/>
        <v>-1.3775044575079964</v>
      </c>
      <c r="AG7" s="1">
        <f t="shared" si="12"/>
        <v>-1.3775044575079964</v>
      </c>
      <c r="AH7" s="1">
        <f t="shared" si="12"/>
        <v>-0.99008132883387234</v>
      </c>
      <c r="AI7" s="1">
        <f t="shared" si="12"/>
        <v>-0.77484625734824797</v>
      </c>
      <c r="AJ7" s="1">
        <f t="shared" si="12"/>
        <v>-0.21523507148562443</v>
      </c>
      <c r="AK7" s="1">
        <f t="shared" si="12"/>
        <v>1.119222371725247</v>
      </c>
      <c r="AL7" s="1">
        <f t="shared" si="12"/>
        <v>0.12914104289137465</v>
      </c>
      <c r="AM7" s="1">
        <f t="shared" si="12"/>
        <v>-0.30132910007987418</v>
      </c>
      <c r="AN7" s="1">
        <f t="shared" si="12"/>
        <v>-0.94703431453674747</v>
      </c>
      <c r="AO7" s="1">
        <f t="shared" si="12"/>
        <v>-0.51656417156549861</v>
      </c>
      <c r="AP7" s="1">
        <f t="shared" si="12"/>
        <v>-8.6094028594249777E-2</v>
      </c>
      <c r="AQ7" s="1">
        <f t="shared" si="12"/>
        <v>-0.17218805718849955</v>
      </c>
      <c r="AR7" s="1">
        <f t="shared" si="12"/>
        <v>-0.30132910007987418</v>
      </c>
      <c r="AS7" s="1">
        <f t="shared" si="12"/>
        <v>0.55961118586262348</v>
      </c>
      <c r="AT7" s="1">
        <f t="shared" si="12"/>
        <v>0.12914104289137465</v>
      </c>
      <c r="AU7" s="1">
        <f t="shared" si="12"/>
        <v>0.60265820015974836</v>
      </c>
      <c r="AV7" s="1">
        <f t="shared" si="12"/>
        <v>2.9702439865016173</v>
      </c>
      <c r="AW7" s="1">
        <f t="shared" si="12"/>
        <v>1.2053164003194967</v>
      </c>
      <c r="AX7" s="1">
        <f t="shared" si="12"/>
        <v>0.38742312867412398</v>
      </c>
      <c r="AY7" s="1">
        <f t="shared" si="12"/>
        <v>0.64570521445687323</v>
      </c>
      <c r="AZ7" s="1">
        <f t="shared" si="12"/>
        <v>-0.12914104289137465</v>
      </c>
      <c r="BA7" s="1">
        <f t="shared" si="12"/>
        <v>1.2483634146166216</v>
      </c>
      <c r="BB7" s="1">
        <f t="shared" ref="BB7:BY7" si="13">IF(AD7&gt;=1,1,0)</f>
        <v>0</v>
      </c>
      <c r="BC7" s="1">
        <f t="shared" si="13"/>
        <v>0</v>
      </c>
      <c r="BD7" s="1">
        <f t="shared" si="13"/>
        <v>0</v>
      </c>
      <c r="BE7" s="1">
        <f t="shared" si="13"/>
        <v>0</v>
      </c>
      <c r="BF7" s="1">
        <f t="shared" si="13"/>
        <v>0</v>
      </c>
      <c r="BG7" s="1">
        <f t="shared" si="13"/>
        <v>0</v>
      </c>
      <c r="BH7" s="1">
        <f t="shared" si="13"/>
        <v>0</v>
      </c>
      <c r="BI7" s="1">
        <f t="shared" si="13"/>
        <v>1</v>
      </c>
      <c r="BJ7" s="1">
        <f t="shared" si="13"/>
        <v>0</v>
      </c>
      <c r="BK7" s="1">
        <f t="shared" si="13"/>
        <v>0</v>
      </c>
      <c r="BL7" s="1">
        <f t="shared" si="13"/>
        <v>0</v>
      </c>
      <c r="BM7" s="1">
        <f t="shared" si="13"/>
        <v>0</v>
      </c>
      <c r="BN7" s="1">
        <f t="shared" si="13"/>
        <v>0</v>
      </c>
      <c r="BO7" s="1">
        <f t="shared" si="13"/>
        <v>0</v>
      </c>
      <c r="BP7" s="1">
        <f t="shared" si="13"/>
        <v>0</v>
      </c>
      <c r="BQ7" s="1">
        <f t="shared" si="13"/>
        <v>0</v>
      </c>
      <c r="BR7" s="1">
        <f t="shared" si="13"/>
        <v>0</v>
      </c>
      <c r="BS7" s="1">
        <f t="shared" si="13"/>
        <v>0</v>
      </c>
      <c r="BT7" s="1">
        <f t="shared" si="13"/>
        <v>1</v>
      </c>
      <c r="BU7" s="1">
        <f t="shared" si="13"/>
        <v>1</v>
      </c>
      <c r="BV7" s="1">
        <f t="shared" si="13"/>
        <v>0</v>
      </c>
      <c r="BW7" s="1">
        <f t="shared" si="13"/>
        <v>0</v>
      </c>
      <c r="BX7" s="1">
        <f t="shared" si="13"/>
        <v>0</v>
      </c>
      <c r="BY7" s="1">
        <f t="shared" si="13"/>
        <v>1</v>
      </c>
    </row>
    <row r="8" spans="1:98" x14ac:dyDescent="0.25">
      <c r="A8" s="1" t="s">
        <v>65</v>
      </c>
      <c r="B8" s="1" t="s">
        <v>59</v>
      </c>
      <c r="C8" s="1" t="s">
        <v>66</v>
      </c>
      <c r="D8" s="1">
        <v>32500</v>
      </c>
      <c r="E8" s="1">
        <v>51300</v>
      </c>
      <c r="F8" s="1">
        <v>41700</v>
      </c>
      <c r="G8" s="1">
        <v>42400</v>
      </c>
      <c r="H8" s="1">
        <v>55900</v>
      </c>
      <c r="I8" s="1">
        <v>47100</v>
      </c>
      <c r="J8" s="1">
        <v>43800</v>
      </c>
      <c r="K8" s="1">
        <v>60400</v>
      </c>
      <c r="L8" s="1">
        <v>43000</v>
      </c>
      <c r="M8" s="1">
        <v>51600</v>
      </c>
      <c r="N8" s="1">
        <v>43100</v>
      </c>
      <c r="O8" s="1">
        <v>48000</v>
      </c>
      <c r="P8" s="1">
        <v>87800</v>
      </c>
      <c r="Q8" s="1">
        <v>79400</v>
      </c>
      <c r="R8" s="1">
        <v>79400</v>
      </c>
      <c r="S8" s="1">
        <v>405700</v>
      </c>
      <c r="T8" s="1">
        <v>78200</v>
      </c>
      <c r="U8" s="1">
        <v>35800</v>
      </c>
      <c r="V8" s="1">
        <v>55200</v>
      </c>
      <c r="W8" s="1">
        <v>69600</v>
      </c>
      <c r="X8" s="1">
        <v>59700</v>
      </c>
      <c r="Y8" s="1">
        <v>40800</v>
      </c>
      <c r="Z8" s="1">
        <v>27100</v>
      </c>
      <c r="AA8" s="1">
        <v>31800</v>
      </c>
      <c r="AB8" s="3">
        <f t="shared" si="0"/>
        <v>67137.5</v>
      </c>
      <c r="AC8" s="1">
        <f t="shared" si="1"/>
        <v>73956.931135921797</v>
      </c>
      <c r="AD8" s="1">
        <f t="shared" ref="AD8:BA8" si="14">(D8-$AB8)/$AC8</f>
        <v>-0.4683469076933634</v>
      </c>
      <c r="AE8" s="1">
        <f t="shared" si="14"/>
        <v>-0.21414490510555448</v>
      </c>
      <c r="AF8" s="1">
        <f t="shared" si="14"/>
        <v>-0.3439501830227335</v>
      </c>
      <c r="AG8" s="1">
        <f t="shared" si="14"/>
        <v>-0.33448521484127253</v>
      </c>
      <c r="AH8" s="1">
        <f t="shared" si="14"/>
        <v>-0.15194654277023953</v>
      </c>
      <c r="AI8" s="1">
        <f t="shared" si="14"/>
        <v>-0.2709347141943203</v>
      </c>
      <c r="AJ8" s="1">
        <f t="shared" si="14"/>
        <v>-0.31555527847835058</v>
      </c>
      <c r="AK8" s="1">
        <f t="shared" si="14"/>
        <v>-9.110031874656184E-2</v>
      </c>
      <c r="AL8" s="1">
        <f t="shared" si="14"/>
        <v>-0.32637238497144883</v>
      </c>
      <c r="AM8" s="1">
        <f t="shared" si="14"/>
        <v>-0.21008849017064263</v>
      </c>
      <c r="AN8" s="1">
        <f t="shared" si="14"/>
        <v>-0.32502024665981155</v>
      </c>
      <c r="AO8" s="1">
        <f t="shared" si="14"/>
        <v>-0.25876546938958478</v>
      </c>
      <c r="AP8" s="1">
        <f t="shared" si="14"/>
        <v>0.27938557864205332</v>
      </c>
      <c r="AQ8" s="1">
        <f t="shared" si="14"/>
        <v>0.16580596046452165</v>
      </c>
      <c r="AR8" s="1">
        <f t="shared" si="14"/>
        <v>0.16580596046452165</v>
      </c>
      <c r="AS8" s="1">
        <f t="shared" si="14"/>
        <v>4.5778332713369716</v>
      </c>
      <c r="AT8" s="1">
        <f t="shared" si="14"/>
        <v>0.14958030072487427</v>
      </c>
      <c r="AU8" s="1">
        <f t="shared" si="14"/>
        <v>-0.42372634340933313</v>
      </c>
      <c r="AV8" s="1">
        <f t="shared" si="14"/>
        <v>-0.16141151095170048</v>
      </c>
      <c r="AW8" s="1">
        <f t="shared" si="14"/>
        <v>3.3296405924068059E-2</v>
      </c>
      <c r="AX8" s="1">
        <f t="shared" si="14"/>
        <v>-0.10056528692802282</v>
      </c>
      <c r="AY8" s="1">
        <f t="shared" si="14"/>
        <v>-0.35611942782746903</v>
      </c>
      <c r="AZ8" s="1">
        <f t="shared" si="14"/>
        <v>-0.54136237652177666</v>
      </c>
      <c r="BA8" s="1">
        <f t="shared" si="14"/>
        <v>-0.47781187587482438</v>
      </c>
      <c r="BB8" s="1">
        <f t="shared" ref="BB8:BY8" si="15">IF(AD8&gt;=1,1,0)</f>
        <v>0</v>
      </c>
      <c r="BC8" s="1">
        <f t="shared" si="15"/>
        <v>0</v>
      </c>
      <c r="BD8" s="1">
        <f t="shared" si="15"/>
        <v>0</v>
      </c>
      <c r="BE8" s="1">
        <f t="shared" si="15"/>
        <v>0</v>
      </c>
      <c r="BF8" s="1">
        <f t="shared" si="15"/>
        <v>0</v>
      </c>
      <c r="BG8" s="1">
        <f t="shared" si="15"/>
        <v>0</v>
      </c>
      <c r="BH8" s="1">
        <f t="shared" si="15"/>
        <v>0</v>
      </c>
      <c r="BI8" s="1">
        <f t="shared" si="15"/>
        <v>0</v>
      </c>
      <c r="BJ8" s="1">
        <f t="shared" si="15"/>
        <v>0</v>
      </c>
      <c r="BK8" s="1">
        <f t="shared" si="15"/>
        <v>0</v>
      </c>
      <c r="BL8" s="1">
        <f t="shared" si="15"/>
        <v>0</v>
      </c>
      <c r="BM8" s="1">
        <f t="shared" si="15"/>
        <v>0</v>
      </c>
      <c r="BN8" s="1">
        <f t="shared" si="15"/>
        <v>0</v>
      </c>
      <c r="BO8" s="1">
        <f t="shared" si="15"/>
        <v>0</v>
      </c>
      <c r="BP8" s="1">
        <f t="shared" si="15"/>
        <v>0</v>
      </c>
      <c r="BQ8" s="1">
        <f t="shared" si="15"/>
        <v>1</v>
      </c>
      <c r="BR8" s="1">
        <f t="shared" si="15"/>
        <v>0</v>
      </c>
      <c r="BS8" s="1">
        <f t="shared" si="15"/>
        <v>0</v>
      </c>
      <c r="BT8" s="1">
        <f t="shared" si="15"/>
        <v>0</v>
      </c>
      <c r="BU8" s="1">
        <f t="shared" si="15"/>
        <v>0</v>
      </c>
      <c r="BV8" s="1">
        <f t="shared" si="15"/>
        <v>0</v>
      </c>
      <c r="BW8" s="1">
        <f t="shared" si="15"/>
        <v>0</v>
      </c>
      <c r="BX8" s="1">
        <f t="shared" si="15"/>
        <v>0</v>
      </c>
      <c r="BY8" s="1">
        <f t="shared" si="15"/>
        <v>0</v>
      </c>
    </row>
    <row r="9" spans="1:98" x14ac:dyDescent="0.25">
      <c r="A9" s="1" t="s">
        <v>67</v>
      </c>
      <c r="B9" s="1" t="s">
        <v>59</v>
      </c>
      <c r="C9" s="1" t="s">
        <v>66</v>
      </c>
      <c r="D9" s="1">
        <v>6600</v>
      </c>
      <c r="E9" s="1">
        <v>13100</v>
      </c>
      <c r="F9" s="1">
        <v>9500</v>
      </c>
      <c r="G9" s="1">
        <v>8900</v>
      </c>
      <c r="H9" s="1">
        <v>9900</v>
      </c>
      <c r="I9" s="1">
        <v>7800</v>
      </c>
      <c r="J9" s="1">
        <v>10200</v>
      </c>
      <c r="K9" s="1">
        <v>11200</v>
      </c>
      <c r="L9" s="1">
        <v>9800</v>
      </c>
      <c r="M9" s="1">
        <v>10100</v>
      </c>
      <c r="N9" s="1">
        <v>8400</v>
      </c>
      <c r="O9" s="1">
        <v>13000</v>
      </c>
      <c r="P9" s="1">
        <v>16800</v>
      </c>
      <c r="Q9" s="1">
        <v>13200</v>
      </c>
      <c r="R9" s="1">
        <v>12100</v>
      </c>
      <c r="S9" s="1">
        <v>53200</v>
      </c>
      <c r="T9" s="1">
        <v>15500</v>
      </c>
      <c r="U9" s="1">
        <v>14800</v>
      </c>
      <c r="V9" s="1">
        <v>11300</v>
      </c>
      <c r="W9" s="1">
        <v>4700</v>
      </c>
      <c r="X9" s="1">
        <v>28100</v>
      </c>
      <c r="Y9" s="1">
        <v>29600</v>
      </c>
      <c r="Z9" s="1">
        <v>6800</v>
      </c>
      <c r="AA9" s="1">
        <v>5300</v>
      </c>
      <c r="AB9" s="3">
        <f t="shared" si="0"/>
        <v>13745.833333333334</v>
      </c>
      <c r="AC9" s="1">
        <f t="shared" si="1"/>
        <v>10338.025173733793</v>
      </c>
      <c r="AD9" s="1">
        <f t="shared" ref="AD9:BA9" si="16">(D9-$AB9)/$AC9</f>
        <v>-0.69121841098714087</v>
      </c>
      <c r="AE9" s="1">
        <f t="shared" si="16"/>
        <v>-6.247163481224894E-2</v>
      </c>
      <c r="AF9" s="1">
        <f t="shared" si="16"/>
        <v>-0.41070061853988143</v>
      </c>
      <c r="AG9" s="1">
        <f t="shared" si="16"/>
        <v>-0.46873878249448686</v>
      </c>
      <c r="AH9" s="1">
        <f t="shared" si="16"/>
        <v>-0.37200850923681117</v>
      </c>
      <c r="AI9" s="1">
        <f t="shared" si="16"/>
        <v>-0.57514208307793013</v>
      </c>
      <c r="AJ9" s="1">
        <f t="shared" si="16"/>
        <v>-0.34298942725950843</v>
      </c>
      <c r="AK9" s="1">
        <f t="shared" si="16"/>
        <v>-0.24625915400183276</v>
      </c>
      <c r="AL9" s="1">
        <f t="shared" si="16"/>
        <v>-0.38168153656257869</v>
      </c>
      <c r="AM9" s="1">
        <f t="shared" si="16"/>
        <v>-0.35266245458527601</v>
      </c>
      <c r="AN9" s="1">
        <f t="shared" si="16"/>
        <v>-0.51710391912332465</v>
      </c>
      <c r="AO9" s="1">
        <f t="shared" si="16"/>
        <v>-7.2144662138016513E-2</v>
      </c>
      <c r="AP9" s="1">
        <f t="shared" si="16"/>
        <v>0.29543037624115109</v>
      </c>
      <c r="AQ9" s="1">
        <f t="shared" si="16"/>
        <v>-5.2798607486481373E-2</v>
      </c>
      <c r="AR9" s="1">
        <f t="shared" si="16"/>
        <v>-0.15920190806992462</v>
      </c>
      <c r="AS9" s="1">
        <f t="shared" si="16"/>
        <v>3.816412322820546</v>
      </c>
      <c r="AT9" s="1">
        <f t="shared" si="16"/>
        <v>0.16968102100617272</v>
      </c>
      <c r="AU9" s="1">
        <f t="shared" si="16"/>
        <v>0.10196982972579974</v>
      </c>
      <c r="AV9" s="1">
        <f t="shared" si="16"/>
        <v>-0.23658612667606518</v>
      </c>
      <c r="AW9" s="1">
        <f t="shared" si="16"/>
        <v>-0.87500593017672479</v>
      </c>
      <c r="AX9" s="1">
        <f t="shared" si="16"/>
        <v>1.3884824640528863</v>
      </c>
      <c r="AY9" s="1">
        <f t="shared" si="16"/>
        <v>1.5335778739393999</v>
      </c>
      <c r="AZ9" s="1">
        <f t="shared" si="16"/>
        <v>-0.67187235633560582</v>
      </c>
      <c r="BA9" s="1">
        <f t="shared" si="16"/>
        <v>-0.81696776622211931</v>
      </c>
      <c r="BB9" s="1">
        <f t="shared" ref="BB9:BY9" si="17">IF(AD9&gt;=1,1,0)</f>
        <v>0</v>
      </c>
      <c r="BC9" s="1">
        <f t="shared" si="17"/>
        <v>0</v>
      </c>
      <c r="BD9" s="1">
        <f t="shared" si="17"/>
        <v>0</v>
      </c>
      <c r="BE9" s="1">
        <f t="shared" si="17"/>
        <v>0</v>
      </c>
      <c r="BF9" s="1">
        <f t="shared" si="17"/>
        <v>0</v>
      </c>
      <c r="BG9" s="1">
        <f t="shared" si="17"/>
        <v>0</v>
      </c>
      <c r="BH9" s="1">
        <f t="shared" si="17"/>
        <v>0</v>
      </c>
      <c r="BI9" s="1">
        <f t="shared" si="17"/>
        <v>0</v>
      </c>
      <c r="BJ9" s="1">
        <f t="shared" si="17"/>
        <v>0</v>
      </c>
      <c r="BK9" s="1">
        <f t="shared" si="17"/>
        <v>0</v>
      </c>
      <c r="BL9" s="1">
        <f t="shared" si="17"/>
        <v>0</v>
      </c>
      <c r="BM9" s="1">
        <f t="shared" si="17"/>
        <v>0</v>
      </c>
      <c r="BN9" s="1">
        <f t="shared" si="17"/>
        <v>0</v>
      </c>
      <c r="BO9" s="1">
        <f t="shared" si="17"/>
        <v>0</v>
      </c>
      <c r="BP9" s="1">
        <f t="shared" si="17"/>
        <v>0</v>
      </c>
      <c r="BQ9" s="1">
        <f t="shared" si="17"/>
        <v>1</v>
      </c>
      <c r="BR9" s="1">
        <f t="shared" si="17"/>
        <v>0</v>
      </c>
      <c r="BS9" s="1">
        <f t="shared" si="17"/>
        <v>0</v>
      </c>
      <c r="BT9" s="1">
        <f t="shared" si="17"/>
        <v>0</v>
      </c>
      <c r="BU9" s="1">
        <f t="shared" si="17"/>
        <v>0</v>
      </c>
      <c r="BV9" s="1">
        <f t="shared" si="17"/>
        <v>1</v>
      </c>
      <c r="BW9" s="1">
        <f t="shared" si="17"/>
        <v>1</v>
      </c>
      <c r="BX9" s="1">
        <f t="shared" si="17"/>
        <v>0</v>
      </c>
      <c r="BY9" s="1">
        <f t="shared" si="17"/>
        <v>0</v>
      </c>
    </row>
    <row r="10" spans="1:98" x14ac:dyDescent="0.25">
      <c r="A10" s="1" t="s">
        <v>68</v>
      </c>
      <c r="B10" s="1" t="s">
        <v>69</v>
      </c>
      <c r="C10" s="1" t="s">
        <v>70</v>
      </c>
      <c r="D10" s="1">
        <v>1000</v>
      </c>
      <c r="E10" s="1">
        <v>2600</v>
      </c>
      <c r="F10" s="1">
        <v>1600</v>
      </c>
      <c r="G10" s="1">
        <v>2600</v>
      </c>
      <c r="H10" s="1">
        <v>3300</v>
      </c>
      <c r="I10" s="1">
        <v>3800</v>
      </c>
      <c r="J10" s="1">
        <v>2500</v>
      </c>
      <c r="K10" s="1">
        <v>5000</v>
      </c>
      <c r="L10" s="1">
        <v>2700</v>
      </c>
      <c r="M10" s="1">
        <v>5200</v>
      </c>
      <c r="N10" s="1">
        <v>2800</v>
      </c>
      <c r="O10" s="1">
        <v>2900</v>
      </c>
      <c r="P10" s="1">
        <v>2700</v>
      </c>
      <c r="Q10" s="1">
        <v>5700</v>
      </c>
      <c r="R10" s="1">
        <v>2300</v>
      </c>
      <c r="S10" s="1">
        <v>3200</v>
      </c>
      <c r="T10" s="1">
        <v>3200</v>
      </c>
      <c r="U10" s="1">
        <v>4700</v>
      </c>
      <c r="V10" s="1">
        <v>18100</v>
      </c>
      <c r="W10" s="1">
        <v>74100</v>
      </c>
      <c r="X10" s="1">
        <v>48100</v>
      </c>
      <c r="Y10" s="1">
        <v>27000</v>
      </c>
      <c r="Z10" s="1">
        <v>11100</v>
      </c>
      <c r="AA10" s="1">
        <v>7400</v>
      </c>
      <c r="AB10" s="3">
        <f t="shared" si="0"/>
        <v>10150</v>
      </c>
      <c r="AC10" s="1">
        <f t="shared" si="1"/>
        <v>17167.132398353799</v>
      </c>
      <c r="AD10" s="1">
        <f t="shared" ref="AD10:BA10" si="18">(D10-$AB10)/$AC10</f>
        <v>-0.53299524857613478</v>
      </c>
      <c r="AE10" s="1">
        <f t="shared" si="18"/>
        <v>-0.43979389363385984</v>
      </c>
      <c r="AF10" s="1">
        <f t="shared" si="18"/>
        <v>-0.49804474047278169</v>
      </c>
      <c r="AG10" s="1">
        <f t="shared" si="18"/>
        <v>-0.43979389363385984</v>
      </c>
      <c r="AH10" s="1">
        <f t="shared" si="18"/>
        <v>-0.39901830084661455</v>
      </c>
      <c r="AI10" s="1">
        <f t="shared" si="18"/>
        <v>-0.36989287742715365</v>
      </c>
      <c r="AJ10" s="1">
        <f t="shared" si="18"/>
        <v>-0.44561897831775205</v>
      </c>
      <c r="AK10" s="1">
        <f t="shared" si="18"/>
        <v>-0.29999186122044746</v>
      </c>
      <c r="AL10" s="1">
        <f t="shared" si="18"/>
        <v>-0.4339688089499677</v>
      </c>
      <c r="AM10" s="1">
        <f t="shared" si="18"/>
        <v>-0.28834169185266306</v>
      </c>
      <c r="AN10" s="1">
        <f t="shared" si="18"/>
        <v>-0.4281437242660755</v>
      </c>
      <c r="AO10" s="1">
        <f t="shared" si="18"/>
        <v>-0.4223186395821833</v>
      </c>
      <c r="AP10" s="1">
        <f t="shared" si="18"/>
        <v>-0.4339688089499677</v>
      </c>
      <c r="AQ10" s="1">
        <f t="shared" si="18"/>
        <v>-0.25921626843320217</v>
      </c>
      <c r="AR10" s="1">
        <f t="shared" si="18"/>
        <v>-0.45726914768553639</v>
      </c>
      <c r="AS10" s="1">
        <f t="shared" si="18"/>
        <v>-0.40484338553050675</v>
      </c>
      <c r="AT10" s="1">
        <f t="shared" si="18"/>
        <v>-0.40484338553050675</v>
      </c>
      <c r="AU10" s="1">
        <f t="shared" si="18"/>
        <v>-0.31746711527212401</v>
      </c>
      <c r="AV10" s="1">
        <f t="shared" si="18"/>
        <v>0.46309423236942859</v>
      </c>
      <c r="AW10" s="1">
        <f t="shared" si="18"/>
        <v>3.7251416553490513</v>
      </c>
      <c r="AX10" s="1">
        <f t="shared" si="18"/>
        <v>2.2106196375370835</v>
      </c>
      <c r="AY10" s="1">
        <f t="shared" si="18"/>
        <v>0.98152676923583293</v>
      </c>
      <c r="AZ10" s="1">
        <f t="shared" si="18"/>
        <v>5.5338304496975743E-2</v>
      </c>
      <c r="BA10" s="1">
        <f t="shared" si="18"/>
        <v>-0.16018982880703506</v>
      </c>
      <c r="BB10" s="1">
        <f t="shared" ref="BB10:BY10" si="19">IF(AD10&gt;=1,1,0)</f>
        <v>0</v>
      </c>
      <c r="BC10" s="1">
        <f t="shared" si="19"/>
        <v>0</v>
      </c>
      <c r="BD10" s="1">
        <f t="shared" si="19"/>
        <v>0</v>
      </c>
      <c r="BE10" s="1">
        <f t="shared" si="19"/>
        <v>0</v>
      </c>
      <c r="BF10" s="1">
        <f t="shared" si="19"/>
        <v>0</v>
      </c>
      <c r="BG10" s="1">
        <f t="shared" si="19"/>
        <v>0</v>
      </c>
      <c r="BH10" s="1">
        <f t="shared" si="19"/>
        <v>0</v>
      </c>
      <c r="BI10" s="1">
        <f t="shared" si="19"/>
        <v>0</v>
      </c>
      <c r="BJ10" s="1">
        <f t="shared" si="19"/>
        <v>0</v>
      </c>
      <c r="BK10" s="1">
        <f t="shared" si="19"/>
        <v>0</v>
      </c>
      <c r="BL10" s="1">
        <f t="shared" si="19"/>
        <v>0</v>
      </c>
      <c r="BM10" s="1">
        <f t="shared" si="19"/>
        <v>0</v>
      </c>
      <c r="BN10" s="1">
        <f t="shared" si="19"/>
        <v>0</v>
      </c>
      <c r="BO10" s="1">
        <f t="shared" si="19"/>
        <v>0</v>
      </c>
      <c r="BP10" s="1">
        <f t="shared" si="19"/>
        <v>0</v>
      </c>
      <c r="BQ10" s="1">
        <f t="shared" si="19"/>
        <v>0</v>
      </c>
      <c r="BR10" s="1">
        <f t="shared" si="19"/>
        <v>0</v>
      </c>
      <c r="BS10" s="1">
        <f t="shared" si="19"/>
        <v>0</v>
      </c>
      <c r="BT10" s="1">
        <f t="shared" si="19"/>
        <v>0</v>
      </c>
      <c r="BU10" s="1">
        <f t="shared" si="19"/>
        <v>1</v>
      </c>
      <c r="BV10" s="1">
        <f t="shared" si="19"/>
        <v>1</v>
      </c>
      <c r="BW10" s="1">
        <f t="shared" si="19"/>
        <v>0</v>
      </c>
      <c r="BX10" s="1">
        <f t="shared" si="19"/>
        <v>0</v>
      </c>
      <c r="BY10" s="1">
        <f t="shared" si="19"/>
        <v>0</v>
      </c>
    </row>
    <row r="11" spans="1:98" x14ac:dyDescent="0.25">
      <c r="A11" s="1" t="s">
        <v>71</v>
      </c>
      <c r="B11" s="1" t="s">
        <v>72</v>
      </c>
      <c r="C11" s="1" t="s">
        <v>73</v>
      </c>
      <c r="D11" s="1">
        <v>84700</v>
      </c>
      <c r="E11" s="1">
        <v>68400</v>
      </c>
      <c r="F11" s="1">
        <v>50800</v>
      </c>
      <c r="G11" s="1">
        <v>43800</v>
      </c>
      <c r="H11" s="1">
        <v>57700</v>
      </c>
      <c r="I11" s="1">
        <v>39400</v>
      </c>
      <c r="J11" s="1">
        <v>38400</v>
      </c>
      <c r="K11" s="1">
        <v>50000</v>
      </c>
      <c r="L11" s="1">
        <v>41100</v>
      </c>
      <c r="M11" s="1">
        <v>47300</v>
      </c>
      <c r="N11" s="1">
        <v>32800</v>
      </c>
      <c r="O11" s="1">
        <v>31400</v>
      </c>
      <c r="P11" s="1">
        <v>71800</v>
      </c>
      <c r="Q11" s="1">
        <v>51000</v>
      </c>
      <c r="R11" s="1">
        <v>68900</v>
      </c>
      <c r="S11" s="1">
        <v>61000</v>
      </c>
      <c r="T11" s="1">
        <v>49300</v>
      </c>
      <c r="U11" s="1">
        <v>46200</v>
      </c>
      <c r="V11" s="1">
        <v>53300</v>
      </c>
      <c r="W11" s="1">
        <v>42400</v>
      </c>
      <c r="X11" s="1">
        <v>37500</v>
      </c>
      <c r="Y11" s="1">
        <v>46600</v>
      </c>
      <c r="Z11" s="1">
        <v>38000</v>
      </c>
      <c r="AA11" s="1">
        <v>35500</v>
      </c>
      <c r="AB11" s="3">
        <f t="shared" si="0"/>
        <v>49470.833333333336</v>
      </c>
      <c r="AC11" s="1">
        <f t="shared" si="1"/>
        <v>13464.299951664992</v>
      </c>
      <c r="AD11" s="1">
        <f t="shared" ref="AD11:BA11" si="20">(D11-$AB11)/$AC11</f>
        <v>2.6164870652863192</v>
      </c>
      <c r="AE11" s="1">
        <f t="shared" si="20"/>
        <v>1.4058782658303663</v>
      </c>
      <c r="AF11" s="1">
        <f t="shared" si="20"/>
        <v>9.8717844331914176E-2</v>
      </c>
      <c r="AG11" s="1">
        <f t="shared" si="20"/>
        <v>-0.42117550512769747</v>
      </c>
      <c r="AH11" s="1">
        <f t="shared" si="20"/>
        <v>0.6111841459421028</v>
      </c>
      <c r="AI11" s="1">
        <f t="shared" si="20"/>
        <v>-0.74796561050231047</v>
      </c>
      <c r="AJ11" s="1">
        <f t="shared" si="20"/>
        <v>-0.82223608899654077</v>
      </c>
      <c r="AK11" s="1">
        <f t="shared" si="20"/>
        <v>3.9301461536529983E-2</v>
      </c>
      <c r="AL11" s="1">
        <f t="shared" si="20"/>
        <v>-0.62170579706211915</v>
      </c>
      <c r="AM11" s="1">
        <f t="shared" si="20"/>
        <v>-0.16122883039789165</v>
      </c>
      <c r="AN11" s="1">
        <f t="shared" si="20"/>
        <v>-1.2381507685642301</v>
      </c>
      <c r="AO11" s="1">
        <f t="shared" si="20"/>
        <v>-1.3421294384561524</v>
      </c>
      <c r="AP11" s="1">
        <f t="shared" si="20"/>
        <v>1.658397892710749</v>
      </c>
      <c r="AQ11" s="1">
        <f t="shared" si="20"/>
        <v>0.11357194003076022</v>
      </c>
      <c r="AR11" s="1">
        <f t="shared" si="20"/>
        <v>1.4430135050774815</v>
      </c>
      <c r="AS11" s="1">
        <f t="shared" si="20"/>
        <v>0.85627672497306251</v>
      </c>
      <c r="AT11" s="1">
        <f t="shared" si="20"/>
        <v>-1.2687873409431179E-2</v>
      </c>
      <c r="AU11" s="1">
        <f t="shared" si="20"/>
        <v>-0.24292635674154489</v>
      </c>
      <c r="AV11" s="1">
        <f t="shared" si="20"/>
        <v>0.28439404056748974</v>
      </c>
      <c r="AW11" s="1">
        <f t="shared" si="20"/>
        <v>-0.52515417501961981</v>
      </c>
      <c r="AX11" s="1">
        <f t="shared" si="20"/>
        <v>-0.8890795196413479</v>
      </c>
      <c r="AY11" s="1">
        <f t="shared" si="20"/>
        <v>-0.21321816534385282</v>
      </c>
      <c r="AZ11" s="1">
        <f t="shared" si="20"/>
        <v>-0.85194428039423287</v>
      </c>
      <c r="BA11" s="1">
        <f t="shared" si="20"/>
        <v>-1.0376204766298085</v>
      </c>
      <c r="BB11" s="1">
        <f t="shared" ref="BB11:BY11" si="21">IF(AD11&gt;=1,1,0)</f>
        <v>1</v>
      </c>
      <c r="BC11" s="1">
        <f t="shared" si="21"/>
        <v>1</v>
      </c>
      <c r="BD11" s="1">
        <f t="shared" si="21"/>
        <v>0</v>
      </c>
      <c r="BE11" s="1">
        <f t="shared" si="21"/>
        <v>0</v>
      </c>
      <c r="BF11" s="1">
        <f t="shared" si="21"/>
        <v>0</v>
      </c>
      <c r="BG11" s="1">
        <f t="shared" si="21"/>
        <v>0</v>
      </c>
      <c r="BH11" s="1">
        <f t="shared" si="21"/>
        <v>0</v>
      </c>
      <c r="BI11" s="1">
        <f t="shared" si="21"/>
        <v>0</v>
      </c>
      <c r="BJ11" s="1">
        <f t="shared" si="21"/>
        <v>0</v>
      </c>
      <c r="BK11" s="1">
        <f t="shared" si="21"/>
        <v>0</v>
      </c>
      <c r="BL11" s="1">
        <f t="shared" si="21"/>
        <v>0</v>
      </c>
      <c r="BM11" s="1">
        <f t="shared" si="21"/>
        <v>0</v>
      </c>
      <c r="BN11" s="1">
        <f t="shared" si="21"/>
        <v>1</v>
      </c>
      <c r="BO11" s="1">
        <f t="shared" si="21"/>
        <v>0</v>
      </c>
      <c r="BP11" s="1">
        <f t="shared" si="21"/>
        <v>1</v>
      </c>
      <c r="BQ11" s="1">
        <f t="shared" si="21"/>
        <v>0</v>
      </c>
      <c r="BR11" s="1">
        <f t="shared" si="21"/>
        <v>0</v>
      </c>
      <c r="BS11" s="1">
        <f t="shared" si="21"/>
        <v>0</v>
      </c>
      <c r="BT11" s="1">
        <f t="shared" si="21"/>
        <v>0</v>
      </c>
      <c r="BU11" s="1">
        <f t="shared" si="21"/>
        <v>0</v>
      </c>
      <c r="BV11" s="1">
        <f t="shared" si="21"/>
        <v>0</v>
      </c>
      <c r="BW11" s="1">
        <f t="shared" si="21"/>
        <v>0</v>
      </c>
      <c r="BX11" s="1">
        <f t="shared" si="21"/>
        <v>0</v>
      </c>
      <c r="BY11" s="1">
        <f t="shared" si="21"/>
        <v>0</v>
      </c>
    </row>
    <row r="12" spans="1:98" x14ac:dyDescent="0.25">
      <c r="A12" s="1" t="s">
        <v>74</v>
      </c>
      <c r="B12" s="1" t="s">
        <v>75</v>
      </c>
      <c r="C12" s="1" t="s">
        <v>76</v>
      </c>
      <c r="D12" s="1">
        <v>35200</v>
      </c>
      <c r="E12" s="1">
        <v>45200</v>
      </c>
      <c r="F12" s="1">
        <v>49600</v>
      </c>
      <c r="G12" s="1">
        <v>39000</v>
      </c>
      <c r="H12" s="1">
        <v>46600</v>
      </c>
      <c r="I12" s="1">
        <v>34400</v>
      </c>
      <c r="J12" s="1">
        <v>36500</v>
      </c>
      <c r="K12" s="1">
        <v>42500</v>
      </c>
      <c r="L12" s="1">
        <v>41500</v>
      </c>
      <c r="M12" s="1">
        <v>50900</v>
      </c>
      <c r="N12" s="1">
        <v>44400</v>
      </c>
      <c r="O12" s="1">
        <v>49900</v>
      </c>
      <c r="P12" s="1">
        <v>54200</v>
      </c>
      <c r="Q12" s="1">
        <v>34000</v>
      </c>
      <c r="R12" s="1">
        <v>38700</v>
      </c>
      <c r="S12" s="1">
        <v>50700</v>
      </c>
      <c r="T12" s="1">
        <v>43200</v>
      </c>
      <c r="U12" s="1">
        <v>45400</v>
      </c>
      <c r="V12" s="1">
        <v>69000</v>
      </c>
      <c r="W12" s="1">
        <v>60200</v>
      </c>
      <c r="X12" s="1">
        <v>60800</v>
      </c>
      <c r="Y12" s="1">
        <v>69800</v>
      </c>
      <c r="Z12" s="1">
        <v>52300</v>
      </c>
      <c r="AA12" s="1">
        <v>56700</v>
      </c>
      <c r="AB12" s="3">
        <f t="shared" si="0"/>
        <v>47945.833333333336</v>
      </c>
      <c r="AC12" s="1">
        <f t="shared" si="1"/>
        <v>10114.431324325302</v>
      </c>
      <c r="AD12" s="1">
        <f t="shared" ref="AD12:BA12" si="22">(D12-$AB12)/$AC12</f>
        <v>-1.2601631198661152</v>
      </c>
      <c r="AE12" s="1">
        <f t="shared" si="22"/>
        <v>-0.27147678849028128</v>
      </c>
      <c r="AF12" s="1">
        <f t="shared" si="22"/>
        <v>0.16354519731508563</v>
      </c>
      <c r="AG12" s="1">
        <f t="shared" si="22"/>
        <v>-0.88446231394329833</v>
      </c>
      <c r="AH12" s="1">
        <f t="shared" si="22"/>
        <v>-0.13306070209766455</v>
      </c>
      <c r="AI12" s="1">
        <f t="shared" si="22"/>
        <v>-1.339258026376182</v>
      </c>
      <c r="AJ12" s="1">
        <f t="shared" si="22"/>
        <v>-1.1316338967872568</v>
      </c>
      <c r="AK12" s="1">
        <f t="shared" si="22"/>
        <v>-0.53842209796175644</v>
      </c>
      <c r="AL12" s="1">
        <f t="shared" si="22"/>
        <v>-0.63729073109933987</v>
      </c>
      <c r="AM12" s="1">
        <f t="shared" si="22"/>
        <v>0.29207442039394405</v>
      </c>
      <c r="AN12" s="1">
        <f t="shared" si="22"/>
        <v>-0.35057169500034802</v>
      </c>
      <c r="AO12" s="1">
        <f t="shared" si="22"/>
        <v>0.19320578725636064</v>
      </c>
      <c r="AP12" s="1">
        <f t="shared" si="22"/>
        <v>0.61834090974796918</v>
      </c>
      <c r="AQ12" s="1">
        <f t="shared" si="22"/>
        <v>-1.3788054796312152</v>
      </c>
      <c r="AR12" s="1">
        <f t="shared" si="22"/>
        <v>-0.91412290388457329</v>
      </c>
      <c r="AS12" s="1">
        <f t="shared" si="22"/>
        <v>0.27230069376642735</v>
      </c>
      <c r="AT12" s="1">
        <f t="shared" si="22"/>
        <v>-0.46921405476544809</v>
      </c>
      <c r="AU12" s="1">
        <f t="shared" si="22"/>
        <v>-0.25170306186276464</v>
      </c>
      <c r="AV12" s="1">
        <f t="shared" si="22"/>
        <v>2.0815966801842034</v>
      </c>
      <c r="AW12" s="1">
        <f t="shared" si="22"/>
        <v>1.2115527085734696</v>
      </c>
      <c r="AX12" s="1">
        <f t="shared" si="22"/>
        <v>1.2708738884560196</v>
      </c>
      <c r="AY12" s="1">
        <f t="shared" si="22"/>
        <v>2.16069158669427</v>
      </c>
      <c r="AZ12" s="1">
        <f t="shared" si="22"/>
        <v>0.43049050678656076</v>
      </c>
      <c r="BA12" s="1">
        <f t="shared" si="22"/>
        <v>0.86551249259192775</v>
      </c>
      <c r="BB12" s="1">
        <f t="shared" ref="BB12:BY12" si="23">IF(AD12&gt;=1,1,0)</f>
        <v>0</v>
      </c>
      <c r="BC12" s="1">
        <f t="shared" si="23"/>
        <v>0</v>
      </c>
      <c r="BD12" s="1">
        <f t="shared" si="23"/>
        <v>0</v>
      </c>
      <c r="BE12" s="1">
        <f t="shared" si="23"/>
        <v>0</v>
      </c>
      <c r="BF12" s="1">
        <f t="shared" si="23"/>
        <v>0</v>
      </c>
      <c r="BG12" s="1">
        <f t="shared" si="23"/>
        <v>0</v>
      </c>
      <c r="BH12" s="1">
        <f t="shared" si="23"/>
        <v>0</v>
      </c>
      <c r="BI12" s="1">
        <f t="shared" si="23"/>
        <v>0</v>
      </c>
      <c r="BJ12" s="1">
        <f t="shared" si="23"/>
        <v>0</v>
      </c>
      <c r="BK12" s="1">
        <f t="shared" si="23"/>
        <v>0</v>
      </c>
      <c r="BL12" s="1">
        <f t="shared" si="23"/>
        <v>0</v>
      </c>
      <c r="BM12" s="1">
        <f t="shared" si="23"/>
        <v>0</v>
      </c>
      <c r="BN12" s="1">
        <f t="shared" si="23"/>
        <v>0</v>
      </c>
      <c r="BO12" s="1">
        <f t="shared" si="23"/>
        <v>0</v>
      </c>
      <c r="BP12" s="1">
        <f t="shared" si="23"/>
        <v>0</v>
      </c>
      <c r="BQ12" s="1">
        <f t="shared" si="23"/>
        <v>0</v>
      </c>
      <c r="BR12" s="1">
        <f t="shared" si="23"/>
        <v>0</v>
      </c>
      <c r="BS12" s="1">
        <f t="shared" si="23"/>
        <v>0</v>
      </c>
      <c r="BT12" s="1">
        <f t="shared" si="23"/>
        <v>1</v>
      </c>
      <c r="BU12" s="1">
        <f t="shared" si="23"/>
        <v>1</v>
      </c>
      <c r="BV12" s="1">
        <f t="shared" si="23"/>
        <v>1</v>
      </c>
      <c r="BW12" s="1">
        <f t="shared" si="23"/>
        <v>1</v>
      </c>
      <c r="BX12" s="1">
        <f t="shared" si="23"/>
        <v>0</v>
      </c>
      <c r="BY12" s="1">
        <f t="shared" si="23"/>
        <v>0</v>
      </c>
    </row>
    <row r="13" spans="1:98" x14ac:dyDescent="0.25">
      <c r="A13" s="1" t="s">
        <v>77</v>
      </c>
      <c r="B13" s="1" t="s">
        <v>54</v>
      </c>
      <c r="C13" s="1" t="s">
        <v>55</v>
      </c>
      <c r="D13" s="1">
        <v>11200</v>
      </c>
      <c r="E13" s="1">
        <v>13100</v>
      </c>
      <c r="F13" s="1">
        <v>7700</v>
      </c>
      <c r="G13" s="1">
        <v>11300</v>
      </c>
      <c r="H13" s="1">
        <v>14400</v>
      </c>
      <c r="I13" s="1">
        <v>10000</v>
      </c>
      <c r="J13" s="1">
        <v>11000</v>
      </c>
      <c r="K13" s="1">
        <v>11700</v>
      </c>
      <c r="L13" s="1">
        <v>13900</v>
      </c>
      <c r="M13" s="1">
        <v>14500</v>
      </c>
      <c r="N13" s="1">
        <v>11200</v>
      </c>
      <c r="O13" s="1">
        <v>10800</v>
      </c>
      <c r="P13" s="1">
        <v>9200</v>
      </c>
      <c r="Q13" s="1">
        <v>6900</v>
      </c>
      <c r="R13" s="1">
        <v>7900</v>
      </c>
      <c r="S13" s="1">
        <v>15500</v>
      </c>
      <c r="T13" s="1">
        <v>10100</v>
      </c>
      <c r="U13" s="1">
        <v>8500</v>
      </c>
      <c r="V13" s="1">
        <v>7700</v>
      </c>
      <c r="W13" s="1">
        <v>8200</v>
      </c>
      <c r="X13" s="1">
        <v>6100</v>
      </c>
      <c r="Y13" s="1">
        <v>7800</v>
      </c>
      <c r="Z13" s="1">
        <v>7200</v>
      </c>
      <c r="AA13" s="1">
        <v>5100</v>
      </c>
      <c r="AB13" s="3">
        <f t="shared" si="0"/>
        <v>10041.666666666666</v>
      </c>
      <c r="AC13" s="1">
        <f t="shared" si="1"/>
        <v>2846.6481688296949</v>
      </c>
      <c r="AD13" s="1">
        <f t="shared" ref="AD13:BA13" si="24">(D13-$AB13)/$AC13</f>
        <v>0.40691130924322982</v>
      </c>
      <c r="AE13" s="1">
        <f t="shared" si="24"/>
        <v>1.0743629531817649</v>
      </c>
      <c r="AF13" s="1">
        <f t="shared" si="24"/>
        <v>-0.82260487695933449</v>
      </c>
      <c r="AG13" s="1">
        <f t="shared" si="24"/>
        <v>0.44204034313473167</v>
      </c>
      <c r="AH13" s="1">
        <f t="shared" si="24"/>
        <v>1.5310403937712886</v>
      </c>
      <c r="AI13" s="1">
        <f t="shared" si="24"/>
        <v>-1.4637097454792219E-2</v>
      </c>
      <c r="AJ13" s="1">
        <f t="shared" si="24"/>
        <v>0.33665324146022618</v>
      </c>
      <c r="AK13" s="1">
        <f t="shared" si="24"/>
        <v>0.58255647870073901</v>
      </c>
      <c r="AL13" s="1">
        <f t="shared" si="24"/>
        <v>1.3553952243137795</v>
      </c>
      <c r="AM13" s="1">
        <f t="shared" si="24"/>
        <v>1.5661694276627904</v>
      </c>
      <c r="AN13" s="1">
        <f t="shared" si="24"/>
        <v>0.40691130924322982</v>
      </c>
      <c r="AO13" s="1">
        <f t="shared" si="24"/>
        <v>0.26639517367722249</v>
      </c>
      <c r="AP13" s="1">
        <f t="shared" si="24"/>
        <v>-0.29566936858680692</v>
      </c>
      <c r="AQ13" s="1">
        <f t="shared" si="24"/>
        <v>-1.1036371480913492</v>
      </c>
      <c r="AR13" s="1">
        <f t="shared" si="24"/>
        <v>-0.75234680917633079</v>
      </c>
      <c r="AS13" s="1">
        <f t="shared" si="24"/>
        <v>1.9174597665778088</v>
      </c>
      <c r="AT13" s="1">
        <f t="shared" si="24"/>
        <v>2.0491936436709619E-2</v>
      </c>
      <c r="AU13" s="1">
        <f t="shared" si="24"/>
        <v>-0.54157260582731981</v>
      </c>
      <c r="AV13" s="1">
        <f t="shared" si="24"/>
        <v>-0.82260487695933449</v>
      </c>
      <c r="AW13" s="1">
        <f t="shared" si="24"/>
        <v>-0.6469597075018253</v>
      </c>
      <c r="AX13" s="1">
        <f t="shared" si="24"/>
        <v>-1.384669419223364</v>
      </c>
      <c r="AY13" s="1">
        <f t="shared" si="24"/>
        <v>-0.78747584306783269</v>
      </c>
      <c r="AZ13" s="1">
        <f t="shared" si="24"/>
        <v>-0.99825004641684367</v>
      </c>
      <c r="BA13" s="1">
        <f t="shared" si="24"/>
        <v>-1.7359597581383823</v>
      </c>
      <c r="BB13" s="1">
        <f t="shared" ref="BB13:BY13" si="25">IF(AD13&gt;=1,1,0)</f>
        <v>0</v>
      </c>
      <c r="BC13" s="1">
        <f t="shared" si="25"/>
        <v>1</v>
      </c>
      <c r="BD13" s="1">
        <f t="shared" si="25"/>
        <v>0</v>
      </c>
      <c r="BE13" s="1">
        <f t="shared" si="25"/>
        <v>0</v>
      </c>
      <c r="BF13" s="1">
        <f t="shared" si="25"/>
        <v>1</v>
      </c>
      <c r="BG13" s="1">
        <f t="shared" si="25"/>
        <v>0</v>
      </c>
      <c r="BH13" s="1">
        <f t="shared" si="25"/>
        <v>0</v>
      </c>
      <c r="BI13" s="1">
        <f t="shared" si="25"/>
        <v>0</v>
      </c>
      <c r="BJ13" s="1">
        <f t="shared" si="25"/>
        <v>1</v>
      </c>
      <c r="BK13" s="1">
        <f t="shared" si="25"/>
        <v>1</v>
      </c>
      <c r="BL13" s="1">
        <f t="shared" si="25"/>
        <v>0</v>
      </c>
      <c r="BM13" s="1">
        <f t="shared" si="25"/>
        <v>0</v>
      </c>
      <c r="BN13" s="1">
        <f t="shared" si="25"/>
        <v>0</v>
      </c>
      <c r="BO13" s="1">
        <f t="shared" si="25"/>
        <v>0</v>
      </c>
      <c r="BP13" s="1">
        <f t="shared" si="25"/>
        <v>0</v>
      </c>
      <c r="BQ13" s="1">
        <f t="shared" si="25"/>
        <v>1</v>
      </c>
      <c r="BR13" s="1">
        <f t="shared" si="25"/>
        <v>0</v>
      </c>
      <c r="BS13" s="1">
        <f t="shared" si="25"/>
        <v>0</v>
      </c>
      <c r="BT13" s="1">
        <f t="shared" si="25"/>
        <v>0</v>
      </c>
      <c r="BU13" s="1">
        <f t="shared" si="25"/>
        <v>0</v>
      </c>
      <c r="BV13" s="1">
        <f t="shared" si="25"/>
        <v>0</v>
      </c>
      <c r="BW13" s="1">
        <f t="shared" si="25"/>
        <v>0</v>
      </c>
      <c r="BX13" s="1">
        <f t="shared" si="25"/>
        <v>0</v>
      </c>
      <c r="BY13" s="1">
        <f t="shared" si="25"/>
        <v>0</v>
      </c>
    </row>
    <row r="14" spans="1:98" x14ac:dyDescent="0.25">
      <c r="A14" s="1" t="s">
        <v>78</v>
      </c>
      <c r="B14" s="1" t="s">
        <v>79</v>
      </c>
      <c r="C14" s="1" t="s">
        <v>80</v>
      </c>
      <c r="D14" s="1">
        <v>2300</v>
      </c>
      <c r="E14" s="1">
        <v>2300</v>
      </c>
      <c r="F14" s="1">
        <v>4000</v>
      </c>
      <c r="G14" s="1">
        <v>3000</v>
      </c>
      <c r="H14" s="1">
        <v>4800</v>
      </c>
      <c r="I14" s="1">
        <v>2600</v>
      </c>
      <c r="J14" s="1">
        <v>5300</v>
      </c>
      <c r="K14" s="1">
        <v>8300</v>
      </c>
      <c r="L14" s="1">
        <v>4000</v>
      </c>
      <c r="M14" s="1">
        <v>6400</v>
      </c>
      <c r="N14" s="1">
        <v>6400</v>
      </c>
      <c r="O14" s="1">
        <v>7600</v>
      </c>
      <c r="P14" s="1">
        <v>12700</v>
      </c>
      <c r="Q14" s="1">
        <v>12700</v>
      </c>
      <c r="R14" s="1">
        <v>15800</v>
      </c>
      <c r="S14" s="1">
        <v>16900</v>
      </c>
      <c r="T14" s="1">
        <v>12000</v>
      </c>
      <c r="U14" s="1">
        <v>16100</v>
      </c>
      <c r="V14" s="1">
        <v>17900</v>
      </c>
      <c r="W14" s="1">
        <v>17800</v>
      </c>
      <c r="X14" s="1">
        <v>16000</v>
      </c>
      <c r="Y14" s="1">
        <v>27200</v>
      </c>
      <c r="Z14" s="1">
        <v>20300</v>
      </c>
      <c r="AA14" s="1">
        <v>19900</v>
      </c>
      <c r="AB14" s="3">
        <f t="shared" si="0"/>
        <v>10929.166666666666</v>
      </c>
      <c r="AC14" s="1">
        <f t="shared" si="1"/>
        <v>7081.9721624802323</v>
      </c>
      <c r="AD14" s="1">
        <f t="shared" ref="AD14:BA14" si="26">(D14-$AB14)/$AC14</f>
        <v>-1.2184694416596773</v>
      </c>
      <c r="AE14" s="1">
        <f t="shared" si="26"/>
        <v>-1.2184694416596773</v>
      </c>
      <c r="AF14" s="1">
        <f t="shared" si="26"/>
        <v>-0.97842331312411557</v>
      </c>
      <c r="AG14" s="1">
        <f t="shared" si="26"/>
        <v>-1.1196269181450342</v>
      </c>
      <c r="AH14" s="1">
        <f t="shared" si="26"/>
        <v>-0.86546042910738064</v>
      </c>
      <c r="AI14" s="1">
        <f t="shared" si="26"/>
        <v>-1.1761083601534017</v>
      </c>
      <c r="AJ14" s="1">
        <f t="shared" si="26"/>
        <v>-0.7948586265969213</v>
      </c>
      <c r="AK14" s="1">
        <f t="shared" si="26"/>
        <v>-0.37124781153416525</v>
      </c>
      <c r="AL14" s="1">
        <f t="shared" si="26"/>
        <v>-0.97842331312411557</v>
      </c>
      <c r="AM14" s="1">
        <f t="shared" si="26"/>
        <v>-0.63953466107391077</v>
      </c>
      <c r="AN14" s="1">
        <f t="shared" si="26"/>
        <v>-0.63953466107391077</v>
      </c>
      <c r="AO14" s="1">
        <f t="shared" si="26"/>
        <v>-0.47009033504880832</v>
      </c>
      <c r="AP14" s="1">
        <f t="shared" si="26"/>
        <v>0.25004805055787688</v>
      </c>
      <c r="AQ14" s="1">
        <f t="shared" si="26"/>
        <v>0.25004805055787688</v>
      </c>
      <c r="AR14" s="1">
        <f t="shared" si="26"/>
        <v>0.6877792261227248</v>
      </c>
      <c r="AS14" s="1">
        <f t="shared" si="26"/>
        <v>0.84310319164573533</v>
      </c>
      <c r="AT14" s="1">
        <f t="shared" si="26"/>
        <v>0.15120552704323384</v>
      </c>
      <c r="AU14" s="1">
        <f t="shared" si="26"/>
        <v>0.7301403076290004</v>
      </c>
      <c r="AV14" s="1">
        <f t="shared" si="26"/>
        <v>0.98430679666665399</v>
      </c>
      <c r="AW14" s="1">
        <f t="shared" si="26"/>
        <v>0.97018643616456213</v>
      </c>
      <c r="AX14" s="1">
        <f t="shared" si="26"/>
        <v>0.71601994712690853</v>
      </c>
      <c r="AY14" s="1">
        <f t="shared" si="26"/>
        <v>2.2975003233611977</v>
      </c>
      <c r="AZ14" s="1">
        <f t="shared" si="26"/>
        <v>1.3231954487168589</v>
      </c>
      <c r="BA14" s="1">
        <f t="shared" si="26"/>
        <v>1.2667140067084914</v>
      </c>
      <c r="BB14" s="1">
        <f t="shared" ref="BB14:BY14" si="27">IF(AD14&gt;=1,1,0)</f>
        <v>0</v>
      </c>
      <c r="BC14" s="1">
        <f t="shared" si="27"/>
        <v>0</v>
      </c>
      <c r="BD14" s="1">
        <f t="shared" si="27"/>
        <v>0</v>
      </c>
      <c r="BE14" s="1">
        <f t="shared" si="27"/>
        <v>0</v>
      </c>
      <c r="BF14" s="1">
        <f t="shared" si="27"/>
        <v>0</v>
      </c>
      <c r="BG14" s="1">
        <f t="shared" si="27"/>
        <v>0</v>
      </c>
      <c r="BH14" s="1">
        <f t="shared" si="27"/>
        <v>0</v>
      </c>
      <c r="BI14" s="1">
        <f t="shared" si="27"/>
        <v>0</v>
      </c>
      <c r="BJ14" s="1">
        <f t="shared" si="27"/>
        <v>0</v>
      </c>
      <c r="BK14" s="1">
        <f t="shared" si="27"/>
        <v>0</v>
      </c>
      <c r="BL14" s="1">
        <f t="shared" si="27"/>
        <v>0</v>
      </c>
      <c r="BM14" s="1">
        <f t="shared" si="27"/>
        <v>0</v>
      </c>
      <c r="BN14" s="1">
        <f t="shared" si="27"/>
        <v>0</v>
      </c>
      <c r="BO14" s="1">
        <f t="shared" si="27"/>
        <v>0</v>
      </c>
      <c r="BP14" s="1">
        <f t="shared" si="27"/>
        <v>0</v>
      </c>
      <c r="BQ14" s="1">
        <f t="shared" si="27"/>
        <v>0</v>
      </c>
      <c r="BR14" s="1">
        <f t="shared" si="27"/>
        <v>0</v>
      </c>
      <c r="BS14" s="1">
        <f t="shared" si="27"/>
        <v>0</v>
      </c>
      <c r="BT14" s="1">
        <f t="shared" si="27"/>
        <v>0</v>
      </c>
      <c r="BU14" s="1">
        <f t="shared" si="27"/>
        <v>0</v>
      </c>
      <c r="BV14" s="1">
        <f t="shared" si="27"/>
        <v>0</v>
      </c>
      <c r="BW14" s="1">
        <f t="shared" si="27"/>
        <v>1</v>
      </c>
      <c r="BX14" s="1">
        <f t="shared" si="27"/>
        <v>1</v>
      </c>
      <c r="BY14" s="1">
        <f t="shared" si="27"/>
        <v>1</v>
      </c>
    </row>
    <row r="15" spans="1:98" x14ac:dyDescent="0.25">
      <c r="A15" s="1" t="s">
        <v>81</v>
      </c>
      <c r="B15" s="1" t="s">
        <v>79</v>
      </c>
      <c r="C15" s="1" t="s">
        <v>82</v>
      </c>
      <c r="D15" s="1">
        <v>600</v>
      </c>
      <c r="E15" s="1">
        <v>1200</v>
      </c>
      <c r="F15" s="1">
        <v>1500</v>
      </c>
      <c r="G15" s="1">
        <v>1400</v>
      </c>
      <c r="H15" s="1">
        <v>2900</v>
      </c>
      <c r="I15" s="1">
        <v>1000</v>
      </c>
      <c r="J15" s="1">
        <v>4000</v>
      </c>
      <c r="K15" s="1">
        <v>11100</v>
      </c>
      <c r="L15" s="1">
        <v>12600</v>
      </c>
      <c r="M15" s="1">
        <v>18300</v>
      </c>
      <c r="N15" s="1">
        <v>15700</v>
      </c>
      <c r="O15" s="1">
        <v>28300</v>
      </c>
      <c r="P15" s="1">
        <v>26000</v>
      </c>
      <c r="Q15" s="1">
        <v>22300</v>
      </c>
      <c r="R15" s="1">
        <v>24000</v>
      </c>
      <c r="S15" s="1">
        <v>52000</v>
      </c>
      <c r="T15" s="1">
        <v>37400</v>
      </c>
      <c r="U15" s="1">
        <v>45700</v>
      </c>
      <c r="V15" s="1">
        <v>54500</v>
      </c>
      <c r="W15" s="1">
        <v>58100</v>
      </c>
      <c r="X15" s="1">
        <v>60800</v>
      </c>
      <c r="Y15" s="1">
        <v>87500</v>
      </c>
      <c r="Z15" s="1">
        <v>72000</v>
      </c>
      <c r="AA15" s="1">
        <v>77000</v>
      </c>
      <c r="AB15" s="3">
        <f t="shared" si="0"/>
        <v>29829.166666666668</v>
      </c>
      <c r="AC15" s="1">
        <f t="shared" si="1"/>
        <v>27261.415306119998</v>
      </c>
      <c r="AD15" s="1">
        <f t="shared" ref="AD15:BA15" si="28">(D15-$AB15)/$AC15</f>
        <v>-1.0721808218117319</v>
      </c>
      <c r="AE15" s="1">
        <f t="shared" si="28"/>
        <v>-1.0501716930389751</v>
      </c>
      <c r="AF15" s="1">
        <f t="shared" si="28"/>
        <v>-1.0391671286525967</v>
      </c>
      <c r="AG15" s="1">
        <f t="shared" si="28"/>
        <v>-1.0428353167813895</v>
      </c>
      <c r="AH15" s="1">
        <f t="shared" si="28"/>
        <v>-0.98781249484949729</v>
      </c>
      <c r="AI15" s="1">
        <f t="shared" si="28"/>
        <v>-1.0575080692965608</v>
      </c>
      <c r="AJ15" s="1">
        <f t="shared" si="28"/>
        <v>-0.94746242543277637</v>
      </c>
      <c r="AK15" s="1">
        <f t="shared" si="28"/>
        <v>-0.68702106828848686</v>
      </c>
      <c r="AL15" s="1">
        <f t="shared" si="28"/>
        <v>-0.63199824635659474</v>
      </c>
      <c r="AM15" s="1">
        <f t="shared" si="28"/>
        <v>-0.42291152301540452</v>
      </c>
      <c r="AN15" s="1">
        <f t="shared" si="28"/>
        <v>-0.51828441436401762</v>
      </c>
      <c r="AO15" s="1">
        <f t="shared" si="28"/>
        <v>-5.6092710136123443E-2</v>
      </c>
      <c r="AP15" s="1">
        <f t="shared" si="28"/>
        <v>-0.14046103709835808</v>
      </c>
      <c r="AQ15" s="1">
        <f t="shared" si="28"/>
        <v>-0.27618399786369208</v>
      </c>
      <c r="AR15" s="1">
        <f t="shared" si="28"/>
        <v>-0.21382479967421431</v>
      </c>
      <c r="AS15" s="1">
        <f t="shared" si="28"/>
        <v>0.81326787638777265</v>
      </c>
      <c r="AT15" s="1">
        <f t="shared" si="28"/>
        <v>0.27771240958402232</v>
      </c>
      <c r="AU15" s="1">
        <f t="shared" si="28"/>
        <v>0.58217202427382564</v>
      </c>
      <c r="AV15" s="1">
        <f t="shared" si="28"/>
        <v>0.90497257960759292</v>
      </c>
      <c r="AW15" s="1">
        <f t="shared" si="28"/>
        <v>1.0370273522441342</v>
      </c>
      <c r="AX15" s="1">
        <f t="shared" si="28"/>
        <v>1.1360684317215399</v>
      </c>
      <c r="AY15" s="1">
        <f t="shared" si="28"/>
        <v>2.1154746621092202</v>
      </c>
      <c r="AZ15" s="1">
        <f t="shared" si="28"/>
        <v>1.5469055021463347</v>
      </c>
      <c r="BA15" s="1">
        <f t="shared" si="28"/>
        <v>1.7303149085859753</v>
      </c>
      <c r="BB15" s="1">
        <f t="shared" ref="BB15:BY15" si="29">IF(AD15&gt;=1,1,0)</f>
        <v>0</v>
      </c>
      <c r="BC15" s="1">
        <f t="shared" si="29"/>
        <v>0</v>
      </c>
      <c r="BD15" s="1">
        <f t="shared" si="29"/>
        <v>0</v>
      </c>
      <c r="BE15" s="1">
        <f t="shared" si="29"/>
        <v>0</v>
      </c>
      <c r="BF15" s="1">
        <f t="shared" si="29"/>
        <v>0</v>
      </c>
      <c r="BG15" s="1">
        <f t="shared" si="29"/>
        <v>0</v>
      </c>
      <c r="BH15" s="1">
        <f t="shared" si="29"/>
        <v>0</v>
      </c>
      <c r="BI15" s="1">
        <f t="shared" si="29"/>
        <v>0</v>
      </c>
      <c r="BJ15" s="1">
        <f t="shared" si="29"/>
        <v>0</v>
      </c>
      <c r="BK15" s="1">
        <f t="shared" si="29"/>
        <v>0</v>
      </c>
      <c r="BL15" s="1">
        <f t="shared" si="29"/>
        <v>0</v>
      </c>
      <c r="BM15" s="1">
        <f t="shared" si="29"/>
        <v>0</v>
      </c>
      <c r="BN15" s="1">
        <f t="shared" si="29"/>
        <v>0</v>
      </c>
      <c r="BO15" s="1">
        <f t="shared" si="29"/>
        <v>0</v>
      </c>
      <c r="BP15" s="1">
        <f t="shared" si="29"/>
        <v>0</v>
      </c>
      <c r="BQ15" s="1">
        <f t="shared" si="29"/>
        <v>0</v>
      </c>
      <c r="BR15" s="1">
        <f t="shared" si="29"/>
        <v>0</v>
      </c>
      <c r="BS15" s="1">
        <f t="shared" si="29"/>
        <v>0</v>
      </c>
      <c r="BT15" s="1">
        <f t="shared" si="29"/>
        <v>0</v>
      </c>
      <c r="BU15" s="1">
        <f t="shared" si="29"/>
        <v>1</v>
      </c>
      <c r="BV15" s="1">
        <f t="shared" si="29"/>
        <v>1</v>
      </c>
      <c r="BW15" s="1">
        <f t="shared" si="29"/>
        <v>1</v>
      </c>
      <c r="BX15" s="1">
        <f t="shared" si="29"/>
        <v>1</v>
      </c>
      <c r="BY15" s="1">
        <f t="shared" si="29"/>
        <v>1</v>
      </c>
    </row>
    <row r="16" spans="1:98" x14ac:dyDescent="0.25">
      <c r="A16" s="1" t="s">
        <v>83</v>
      </c>
      <c r="B16" s="1" t="s">
        <v>79</v>
      </c>
      <c r="C16" s="1" t="s">
        <v>82</v>
      </c>
      <c r="D16" s="1">
        <v>100</v>
      </c>
      <c r="E16" s="1">
        <v>200</v>
      </c>
      <c r="F16" s="1">
        <v>0</v>
      </c>
      <c r="G16" s="1">
        <v>0</v>
      </c>
      <c r="H16" s="1">
        <v>400</v>
      </c>
      <c r="I16" s="1">
        <v>100</v>
      </c>
      <c r="J16" s="1">
        <v>800</v>
      </c>
      <c r="K16" s="1">
        <v>800</v>
      </c>
      <c r="L16" s="1">
        <v>800</v>
      </c>
      <c r="M16" s="1">
        <v>1200</v>
      </c>
      <c r="N16" s="1">
        <v>500</v>
      </c>
      <c r="O16" s="1">
        <v>1100</v>
      </c>
      <c r="P16" s="1">
        <v>2000</v>
      </c>
      <c r="Q16" s="1">
        <v>2900</v>
      </c>
      <c r="R16" s="1">
        <v>2500</v>
      </c>
      <c r="S16" s="1">
        <v>5500</v>
      </c>
      <c r="T16" s="1">
        <v>3700</v>
      </c>
      <c r="U16" s="1">
        <v>4300</v>
      </c>
      <c r="V16" s="1">
        <v>8000</v>
      </c>
      <c r="W16" s="1">
        <v>11500</v>
      </c>
      <c r="X16" s="1">
        <v>8800</v>
      </c>
      <c r="Y16" s="1">
        <v>9800</v>
      </c>
      <c r="Z16" s="1">
        <v>5200</v>
      </c>
      <c r="AA16" s="1">
        <v>5700</v>
      </c>
      <c r="AB16" s="3">
        <f t="shared" si="0"/>
        <v>3162.5</v>
      </c>
      <c r="AC16" s="1">
        <f t="shared" si="1"/>
        <v>3460.0593737051995</v>
      </c>
      <c r="AD16" s="1">
        <f t="shared" ref="AD16:BA16" si="30">(D16-$AB16)/$AC16</f>
        <v>-0.88510041858632227</v>
      </c>
      <c r="AE16" s="1">
        <f t="shared" si="30"/>
        <v>-0.85619918042840149</v>
      </c>
      <c r="AF16" s="1">
        <f t="shared" si="30"/>
        <v>-0.91400165674424294</v>
      </c>
      <c r="AG16" s="1">
        <f t="shared" si="30"/>
        <v>-0.91400165674424294</v>
      </c>
      <c r="AH16" s="1">
        <f t="shared" si="30"/>
        <v>-0.79839670411256003</v>
      </c>
      <c r="AI16" s="1">
        <f t="shared" si="30"/>
        <v>-0.88510041858632227</v>
      </c>
      <c r="AJ16" s="1">
        <f t="shared" si="30"/>
        <v>-0.68279175148087712</v>
      </c>
      <c r="AK16" s="1">
        <f t="shared" si="30"/>
        <v>-0.68279175148087712</v>
      </c>
      <c r="AL16" s="1">
        <f t="shared" si="30"/>
        <v>-0.68279175148087712</v>
      </c>
      <c r="AM16" s="1">
        <f t="shared" si="30"/>
        <v>-0.56718679884919421</v>
      </c>
      <c r="AN16" s="1">
        <f t="shared" si="30"/>
        <v>-0.76949546595463936</v>
      </c>
      <c r="AO16" s="1">
        <f t="shared" si="30"/>
        <v>-0.59608803700711499</v>
      </c>
      <c r="AP16" s="1">
        <f t="shared" si="30"/>
        <v>-0.33597689358582844</v>
      </c>
      <c r="AQ16" s="1">
        <f t="shared" si="30"/>
        <v>-7.5865750164541904E-2</v>
      </c>
      <c r="AR16" s="1">
        <f t="shared" si="30"/>
        <v>-0.1914707027962248</v>
      </c>
      <c r="AS16" s="1">
        <f t="shared" si="30"/>
        <v>0.67556644194139692</v>
      </c>
      <c r="AT16" s="1">
        <f t="shared" si="30"/>
        <v>0.15534415509882391</v>
      </c>
      <c r="AU16" s="1">
        <f t="shared" si="30"/>
        <v>0.32875158404634824</v>
      </c>
      <c r="AV16" s="1">
        <f t="shared" si="30"/>
        <v>1.3980973958894152</v>
      </c>
      <c r="AW16" s="1">
        <f t="shared" si="30"/>
        <v>2.4096407314166406</v>
      </c>
      <c r="AX16" s="1">
        <f t="shared" si="30"/>
        <v>1.629307301152781</v>
      </c>
      <c r="AY16" s="1">
        <f t="shared" si="30"/>
        <v>1.9183196827319882</v>
      </c>
      <c r="AZ16" s="1">
        <f t="shared" si="30"/>
        <v>0.58886272746763479</v>
      </c>
      <c r="BA16" s="1">
        <f t="shared" si="30"/>
        <v>0.73336891825723838</v>
      </c>
      <c r="BB16" s="1">
        <f t="shared" ref="BB16:BY16" si="31">IF(AD16&gt;=1,1,0)</f>
        <v>0</v>
      </c>
      <c r="BC16" s="1">
        <f t="shared" si="31"/>
        <v>0</v>
      </c>
      <c r="BD16" s="1">
        <f t="shared" si="31"/>
        <v>0</v>
      </c>
      <c r="BE16" s="1">
        <f t="shared" si="31"/>
        <v>0</v>
      </c>
      <c r="BF16" s="1">
        <f t="shared" si="31"/>
        <v>0</v>
      </c>
      <c r="BG16" s="1">
        <f t="shared" si="31"/>
        <v>0</v>
      </c>
      <c r="BH16" s="1">
        <f t="shared" si="31"/>
        <v>0</v>
      </c>
      <c r="BI16" s="1">
        <f t="shared" si="31"/>
        <v>0</v>
      </c>
      <c r="BJ16" s="1">
        <f t="shared" si="31"/>
        <v>0</v>
      </c>
      <c r="BK16" s="1">
        <f t="shared" si="31"/>
        <v>0</v>
      </c>
      <c r="BL16" s="1">
        <f t="shared" si="31"/>
        <v>0</v>
      </c>
      <c r="BM16" s="1">
        <f t="shared" si="31"/>
        <v>0</v>
      </c>
      <c r="BN16" s="1">
        <f t="shared" si="31"/>
        <v>0</v>
      </c>
      <c r="BO16" s="1">
        <f t="shared" si="31"/>
        <v>0</v>
      </c>
      <c r="BP16" s="1">
        <f t="shared" si="31"/>
        <v>0</v>
      </c>
      <c r="BQ16" s="1">
        <f t="shared" si="31"/>
        <v>0</v>
      </c>
      <c r="BR16" s="1">
        <f t="shared" si="31"/>
        <v>0</v>
      </c>
      <c r="BS16" s="1">
        <f t="shared" si="31"/>
        <v>0</v>
      </c>
      <c r="BT16" s="1">
        <f t="shared" si="31"/>
        <v>1</v>
      </c>
      <c r="BU16" s="1">
        <f t="shared" si="31"/>
        <v>1</v>
      </c>
      <c r="BV16" s="1">
        <f t="shared" si="31"/>
        <v>1</v>
      </c>
      <c r="BW16" s="1">
        <f t="shared" si="31"/>
        <v>1</v>
      </c>
      <c r="BX16" s="1">
        <f t="shared" si="31"/>
        <v>0</v>
      </c>
      <c r="BY16" s="1">
        <f t="shared" si="31"/>
        <v>0</v>
      </c>
    </row>
    <row r="17" spans="1:77" x14ac:dyDescent="0.25">
      <c r="A17" s="1" t="s">
        <v>84</v>
      </c>
      <c r="B17" s="1" t="s">
        <v>63</v>
      </c>
      <c r="C17" s="1" t="s">
        <v>64</v>
      </c>
      <c r="D17" s="1">
        <v>31100</v>
      </c>
      <c r="E17" s="1">
        <v>43300</v>
      </c>
      <c r="F17" s="1">
        <v>31600</v>
      </c>
      <c r="G17" s="1">
        <v>32700</v>
      </c>
      <c r="H17" s="1">
        <v>39600</v>
      </c>
      <c r="I17" s="1">
        <v>31100</v>
      </c>
      <c r="J17" s="1">
        <v>30800</v>
      </c>
      <c r="K17" s="1">
        <v>46600</v>
      </c>
      <c r="L17" s="1">
        <v>33600</v>
      </c>
      <c r="M17" s="1">
        <v>41400</v>
      </c>
      <c r="N17" s="1">
        <v>36500</v>
      </c>
      <c r="O17" s="1">
        <v>55500</v>
      </c>
      <c r="P17" s="1">
        <v>59000</v>
      </c>
      <c r="Q17" s="1">
        <v>32800</v>
      </c>
      <c r="R17" s="1">
        <v>34100</v>
      </c>
      <c r="S17" s="1">
        <v>49500</v>
      </c>
      <c r="T17" s="1">
        <v>38000</v>
      </c>
      <c r="U17" s="1">
        <v>35300</v>
      </c>
      <c r="V17" s="1">
        <v>47800</v>
      </c>
      <c r="W17" s="1">
        <v>39500</v>
      </c>
      <c r="X17" s="1">
        <v>30000</v>
      </c>
      <c r="Y17" s="1">
        <v>40400</v>
      </c>
      <c r="Z17" s="1">
        <v>32500</v>
      </c>
      <c r="AA17" s="1">
        <v>47200</v>
      </c>
      <c r="AB17" s="3">
        <f t="shared" si="0"/>
        <v>39162.5</v>
      </c>
      <c r="AC17" s="1">
        <f t="shared" si="1"/>
        <v>8165.2398191570483</v>
      </c>
      <c r="AD17" s="1">
        <f t="shared" ref="AD17:BA17" si="32">(D17-$AB17)/$AC17</f>
        <v>-0.98741741560168228</v>
      </c>
      <c r="AE17" s="1">
        <f t="shared" si="32"/>
        <v>0.50672118537078581</v>
      </c>
      <c r="AF17" s="1">
        <f t="shared" si="32"/>
        <v>-0.92618222703723685</v>
      </c>
      <c r="AG17" s="1">
        <f t="shared" si="32"/>
        <v>-0.79146481219545695</v>
      </c>
      <c r="AH17" s="1">
        <f t="shared" si="32"/>
        <v>5.3580789993889738E-2</v>
      </c>
      <c r="AI17" s="1">
        <f t="shared" si="32"/>
        <v>-0.98741741560168228</v>
      </c>
      <c r="AJ17" s="1">
        <f t="shared" si="32"/>
        <v>-1.0241585287403494</v>
      </c>
      <c r="AK17" s="1">
        <f t="shared" si="32"/>
        <v>0.91087342989612552</v>
      </c>
      <c r="AL17" s="1">
        <f t="shared" si="32"/>
        <v>-0.68124147277945524</v>
      </c>
      <c r="AM17" s="1">
        <f t="shared" si="32"/>
        <v>0.27402746882589324</v>
      </c>
      <c r="AN17" s="1">
        <f t="shared" si="32"/>
        <v>-0.32607737910567181</v>
      </c>
      <c r="AO17" s="1">
        <f t="shared" si="32"/>
        <v>2.0008597863432538</v>
      </c>
      <c r="AP17" s="1">
        <f t="shared" si="32"/>
        <v>2.4295061062943719</v>
      </c>
      <c r="AQ17" s="1">
        <f t="shared" si="32"/>
        <v>-0.7792177744825679</v>
      </c>
      <c r="AR17" s="1">
        <f t="shared" si="32"/>
        <v>-0.62000628421500981</v>
      </c>
      <c r="AS17" s="1">
        <f t="shared" si="32"/>
        <v>1.2660375235699088</v>
      </c>
      <c r="AT17" s="1">
        <f t="shared" si="32"/>
        <v>-0.14237181341233557</v>
      </c>
      <c r="AU17" s="1">
        <f t="shared" si="32"/>
        <v>-0.47304183166034081</v>
      </c>
      <c r="AV17" s="1">
        <f t="shared" si="32"/>
        <v>1.0578378824507946</v>
      </c>
      <c r="AW17" s="1">
        <f t="shared" si="32"/>
        <v>4.1333752281000655E-2</v>
      </c>
      <c r="AX17" s="1">
        <f t="shared" si="32"/>
        <v>-1.1221348304434622</v>
      </c>
      <c r="AY17" s="1">
        <f t="shared" si="32"/>
        <v>0.15155709169700241</v>
      </c>
      <c r="AZ17" s="1">
        <f t="shared" si="32"/>
        <v>-0.81595888762123514</v>
      </c>
      <c r="BA17" s="1">
        <f t="shared" si="32"/>
        <v>0.98435565617345999</v>
      </c>
      <c r="BB17" s="1">
        <f t="shared" ref="BB17:BY17" si="33">IF(AD17&gt;=1,1,0)</f>
        <v>0</v>
      </c>
      <c r="BC17" s="1">
        <f t="shared" si="33"/>
        <v>0</v>
      </c>
      <c r="BD17" s="1">
        <f t="shared" si="33"/>
        <v>0</v>
      </c>
      <c r="BE17" s="1">
        <f t="shared" si="33"/>
        <v>0</v>
      </c>
      <c r="BF17" s="1">
        <f t="shared" si="33"/>
        <v>0</v>
      </c>
      <c r="BG17" s="1">
        <f t="shared" si="33"/>
        <v>0</v>
      </c>
      <c r="BH17" s="1">
        <f t="shared" si="33"/>
        <v>0</v>
      </c>
      <c r="BI17" s="1">
        <f t="shared" si="33"/>
        <v>0</v>
      </c>
      <c r="BJ17" s="1">
        <f t="shared" si="33"/>
        <v>0</v>
      </c>
      <c r="BK17" s="1">
        <f t="shared" si="33"/>
        <v>0</v>
      </c>
      <c r="BL17" s="1">
        <f t="shared" si="33"/>
        <v>0</v>
      </c>
      <c r="BM17" s="1">
        <f t="shared" si="33"/>
        <v>1</v>
      </c>
      <c r="BN17" s="1">
        <f t="shared" si="33"/>
        <v>1</v>
      </c>
      <c r="BO17" s="1">
        <f t="shared" si="33"/>
        <v>0</v>
      </c>
      <c r="BP17" s="1">
        <f t="shared" si="33"/>
        <v>0</v>
      </c>
      <c r="BQ17" s="1">
        <f t="shared" si="33"/>
        <v>1</v>
      </c>
      <c r="BR17" s="1">
        <f t="shared" si="33"/>
        <v>0</v>
      </c>
      <c r="BS17" s="1">
        <f t="shared" si="33"/>
        <v>0</v>
      </c>
      <c r="BT17" s="1">
        <f t="shared" si="33"/>
        <v>1</v>
      </c>
      <c r="BU17" s="1">
        <f t="shared" si="33"/>
        <v>0</v>
      </c>
      <c r="BV17" s="1">
        <f t="shared" si="33"/>
        <v>0</v>
      </c>
      <c r="BW17" s="1">
        <f t="shared" si="33"/>
        <v>0</v>
      </c>
      <c r="BX17" s="1">
        <f t="shared" si="33"/>
        <v>0</v>
      </c>
      <c r="BY17" s="1">
        <f t="shared" si="33"/>
        <v>0</v>
      </c>
    </row>
    <row r="18" spans="1:77" x14ac:dyDescent="0.25">
      <c r="A18" s="1" t="s">
        <v>85</v>
      </c>
      <c r="B18" s="1" t="s">
        <v>72</v>
      </c>
      <c r="C18" s="1" t="s">
        <v>73</v>
      </c>
      <c r="D18" s="1">
        <v>3210100</v>
      </c>
      <c r="E18" s="1">
        <v>4026900</v>
      </c>
      <c r="F18" s="1">
        <v>3284500</v>
      </c>
      <c r="G18" s="1">
        <v>3144900</v>
      </c>
      <c r="H18" s="1">
        <v>3745100</v>
      </c>
      <c r="I18" s="1">
        <v>2792400</v>
      </c>
      <c r="J18" s="1">
        <v>2645300</v>
      </c>
      <c r="K18" s="1">
        <v>3136100</v>
      </c>
      <c r="L18" s="1">
        <v>2427700</v>
      </c>
      <c r="M18" s="1">
        <v>2885400</v>
      </c>
      <c r="N18" s="1">
        <v>2680800</v>
      </c>
      <c r="O18" s="1">
        <v>2670700</v>
      </c>
      <c r="P18" s="1">
        <v>3358800</v>
      </c>
      <c r="Q18" s="1">
        <v>2268700</v>
      </c>
      <c r="R18" s="1">
        <v>2332100</v>
      </c>
      <c r="S18" s="1">
        <v>3032500</v>
      </c>
      <c r="T18" s="1">
        <v>2342600</v>
      </c>
      <c r="U18" s="1">
        <v>2147700</v>
      </c>
      <c r="V18" s="1">
        <v>3110200</v>
      </c>
      <c r="W18" s="1">
        <v>2567800</v>
      </c>
      <c r="X18" s="1">
        <v>2483800</v>
      </c>
      <c r="Y18" s="1">
        <v>3181700</v>
      </c>
      <c r="Z18" s="1">
        <v>2556300</v>
      </c>
      <c r="AA18" s="1">
        <v>2463200</v>
      </c>
      <c r="AB18" s="3">
        <f t="shared" si="0"/>
        <v>2853970.8333333335</v>
      </c>
      <c r="AC18" s="1">
        <f t="shared" si="1"/>
        <v>477089.18542705383</v>
      </c>
      <c r="AD18" s="1">
        <f t="shared" ref="AD18:BA18" si="34">(D18-$AB18)/$AC18</f>
        <v>0.74646245931541466</v>
      </c>
      <c r="AE18" s="1">
        <f t="shared" si="34"/>
        <v>2.4585113276394011</v>
      </c>
      <c r="AF18" s="1">
        <f t="shared" si="34"/>
        <v>0.90240814467695307</v>
      </c>
      <c r="AG18" s="1">
        <f t="shared" si="34"/>
        <v>0.60980038020826011</v>
      </c>
      <c r="AH18" s="1">
        <f t="shared" si="34"/>
        <v>1.8678460838909934</v>
      </c>
      <c r="AI18" s="1">
        <f t="shared" si="34"/>
        <v>-0.12905518551677078</v>
      </c>
      <c r="AJ18" s="1">
        <f t="shared" si="34"/>
        <v>-0.43738328117110281</v>
      </c>
      <c r="AK18" s="1">
        <f t="shared" si="34"/>
        <v>0.59135519161711037</v>
      </c>
      <c r="AL18" s="1">
        <f t="shared" si="34"/>
        <v>-0.893482489970441</v>
      </c>
      <c r="AM18" s="1">
        <f t="shared" si="34"/>
        <v>6.5876921185152246E-2</v>
      </c>
      <c r="AN18" s="1">
        <f t="shared" si="34"/>
        <v>-0.36297371355907843</v>
      </c>
      <c r="AO18" s="1">
        <f t="shared" si="34"/>
        <v>-0.38414375955573887</v>
      </c>
      <c r="AP18" s="1">
        <f t="shared" si="34"/>
        <v>1.058144225622683</v>
      </c>
      <c r="AQ18" s="1">
        <f t="shared" si="34"/>
        <v>-1.2267535111059868</v>
      </c>
      <c r="AR18" s="1">
        <f t="shared" si="34"/>
        <v>-1.0938643114833855</v>
      </c>
      <c r="AS18" s="1">
        <f t="shared" si="34"/>
        <v>0.37420501683948426</v>
      </c>
      <c r="AT18" s="1">
        <f t="shared" si="34"/>
        <v>-1.071855847823491</v>
      </c>
      <c r="AU18" s="1">
        <f t="shared" si="34"/>
        <v>-1.4803748542342954</v>
      </c>
      <c r="AV18" s="1">
        <f t="shared" si="34"/>
        <v>0.53706764792270378</v>
      </c>
      <c r="AW18" s="1">
        <f t="shared" si="34"/>
        <v>-0.59982670342270528</v>
      </c>
      <c r="AX18" s="1">
        <f t="shared" si="34"/>
        <v>-0.77589441270186166</v>
      </c>
      <c r="AY18" s="1">
        <f t="shared" si="34"/>
        <v>0.6869348052257952</v>
      </c>
      <c r="AZ18" s="1">
        <f t="shared" si="34"/>
        <v>-0.62393121124068507</v>
      </c>
      <c r="BA18" s="1">
        <f t="shared" si="34"/>
        <v>-0.81907292235841667</v>
      </c>
      <c r="BB18" s="1">
        <f t="shared" ref="BB18:BY18" si="35">IF(AD18&gt;=1,1,0)</f>
        <v>0</v>
      </c>
      <c r="BC18" s="1">
        <f t="shared" si="35"/>
        <v>1</v>
      </c>
      <c r="BD18" s="1">
        <f t="shared" si="35"/>
        <v>0</v>
      </c>
      <c r="BE18" s="1">
        <f t="shared" si="35"/>
        <v>0</v>
      </c>
      <c r="BF18" s="1">
        <f t="shared" si="35"/>
        <v>1</v>
      </c>
      <c r="BG18" s="1">
        <f t="shared" si="35"/>
        <v>0</v>
      </c>
      <c r="BH18" s="1">
        <f t="shared" si="35"/>
        <v>0</v>
      </c>
      <c r="BI18" s="1">
        <f t="shared" si="35"/>
        <v>0</v>
      </c>
      <c r="BJ18" s="1">
        <f t="shared" si="35"/>
        <v>0</v>
      </c>
      <c r="BK18" s="1">
        <f t="shared" si="35"/>
        <v>0</v>
      </c>
      <c r="BL18" s="1">
        <f t="shared" si="35"/>
        <v>0</v>
      </c>
      <c r="BM18" s="1">
        <f t="shared" si="35"/>
        <v>0</v>
      </c>
      <c r="BN18" s="1">
        <f t="shared" si="35"/>
        <v>1</v>
      </c>
      <c r="BO18" s="1">
        <f t="shared" si="35"/>
        <v>0</v>
      </c>
      <c r="BP18" s="1">
        <f t="shared" si="35"/>
        <v>0</v>
      </c>
      <c r="BQ18" s="1">
        <f t="shared" si="35"/>
        <v>0</v>
      </c>
      <c r="BR18" s="1">
        <f t="shared" si="35"/>
        <v>0</v>
      </c>
      <c r="BS18" s="1">
        <f t="shared" si="35"/>
        <v>0</v>
      </c>
      <c r="BT18" s="1">
        <f t="shared" si="35"/>
        <v>0</v>
      </c>
      <c r="BU18" s="1">
        <f t="shared" si="35"/>
        <v>0</v>
      </c>
      <c r="BV18" s="1">
        <f t="shared" si="35"/>
        <v>0</v>
      </c>
      <c r="BW18" s="1">
        <f t="shared" si="35"/>
        <v>0</v>
      </c>
      <c r="BX18" s="1">
        <f t="shared" si="35"/>
        <v>0</v>
      </c>
      <c r="BY18" s="1">
        <f t="shared" si="35"/>
        <v>0</v>
      </c>
    </row>
    <row r="19" spans="1:77" x14ac:dyDescent="0.25">
      <c r="A19" s="1" t="s">
        <v>86</v>
      </c>
      <c r="B19" s="1" t="s">
        <v>79</v>
      </c>
      <c r="C19" s="1" t="s">
        <v>79</v>
      </c>
      <c r="D19" s="1">
        <v>14600</v>
      </c>
      <c r="E19" s="1">
        <v>26700</v>
      </c>
      <c r="F19" s="1">
        <v>17400</v>
      </c>
      <c r="G19" s="1">
        <v>21000</v>
      </c>
      <c r="H19" s="1">
        <v>46400</v>
      </c>
      <c r="I19" s="1">
        <v>23900</v>
      </c>
      <c r="J19" s="1">
        <v>19400</v>
      </c>
      <c r="K19" s="1">
        <v>30700</v>
      </c>
      <c r="L19" s="1">
        <v>24700</v>
      </c>
      <c r="M19" s="1">
        <v>32700</v>
      </c>
      <c r="N19" s="1">
        <v>27000</v>
      </c>
      <c r="O19" s="1">
        <v>29400</v>
      </c>
      <c r="P19" s="1">
        <v>36200</v>
      </c>
      <c r="Q19" s="1">
        <v>30400</v>
      </c>
      <c r="R19" s="1">
        <v>40800</v>
      </c>
      <c r="S19" s="1">
        <v>57700</v>
      </c>
      <c r="T19" s="1">
        <v>45300</v>
      </c>
      <c r="U19" s="1">
        <v>35500</v>
      </c>
      <c r="V19" s="1">
        <v>45300</v>
      </c>
      <c r="W19" s="1">
        <v>43600</v>
      </c>
      <c r="X19" s="1">
        <v>48700</v>
      </c>
      <c r="Y19" s="1">
        <v>48700</v>
      </c>
      <c r="Z19" s="1">
        <v>35100</v>
      </c>
      <c r="AA19" s="1">
        <v>28700</v>
      </c>
      <c r="AB19" s="3">
        <f t="shared" si="0"/>
        <v>33745.833333333336</v>
      </c>
      <c r="AC19" s="1">
        <f t="shared" si="1"/>
        <v>11321.04539521769</v>
      </c>
      <c r="AD19" s="1">
        <f t="shared" ref="AD19:BA19" si="36">(D19-$AB19)/$AC19</f>
        <v>-1.6911718542724901</v>
      </c>
      <c r="AE19" s="1">
        <f t="shared" si="36"/>
        <v>-0.62236596421649215</v>
      </c>
      <c r="AF19" s="1">
        <f t="shared" si="36"/>
        <v>-1.4438448714496144</v>
      </c>
      <c r="AG19" s="1">
        <f t="shared" si="36"/>
        <v>-1.1258530363916317</v>
      </c>
      <c r="AH19" s="1">
        <f t="shared" si="36"/>
        <v>1.1177560220730252</v>
      </c>
      <c r="AI19" s="1">
        <f t="shared" si="36"/>
        <v>-0.86969294703936761</v>
      </c>
      <c r="AJ19" s="1">
        <f t="shared" si="36"/>
        <v>-1.2671827408618461</v>
      </c>
      <c r="AK19" s="1">
        <f t="shared" si="36"/>
        <v>-0.26904170304095559</v>
      </c>
      <c r="AL19" s="1">
        <f t="shared" si="36"/>
        <v>-0.79902809480426029</v>
      </c>
      <c r="AM19" s="1">
        <f t="shared" si="36"/>
        <v>-9.2379572453187356E-2</v>
      </c>
      <c r="AN19" s="1">
        <f t="shared" si="36"/>
        <v>-0.59586664462832684</v>
      </c>
      <c r="AO19" s="1">
        <f t="shared" si="36"/>
        <v>-0.38387208792300498</v>
      </c>
      <c r="AP19" s="1">
        <f t="shared" si="36"/>
        <v>0.21677915607540707</v>
      </c>
      <c r="AQ19" s="1">
        <f t="shared" si="36"/>
        <v>-0.29554102262912085</v>
      </c>
      <c r="AR19" s="1">
        <f t="shared" si="36"/>
        <v>0.62310205642727401</v>
      </c>
      <c r="AS19" s="1">
        <f t="shared" si="36"/>
        <v>2.1158970598939155</v>
      </c>
      <c r="AT19" s="1">
        <f t="shared" si="36"/>
        <v>1.0205918502497526</v>
      </c>
      <c r="AU19" s="1">
        <f t="shared" si="36"/>
        <v>0.15494741036968818</v>
      </c>
      <c r="AV19" s="1">
        <f t="shared" si="36"/>
        <v>1.0205918502497526</v>
      </c>
      <c r="AW19" s="1">
        <f t="shared" si="36"/>
        <v>0.87042903925014958</v>
      </c>
      <c r="AX19" s="1">
        <f t="shared" si="36"/>
        <v>1.3209174722489587</v>
      </c>
      <c r="AY19" s="1">
        <f t="shared" si="36"/>
        <v>1.3209174722489587</v>
      </c>
      <c r="AZ19" s="1">
        <f t="shared" si="36"/>
        <v>0.11961498425213454</v>
      </c>
      <c r="BA19" s="1">
        <f t="shared" si="36"/>
        <v>-0.44570383362872384</v>
      </c>
      <c r="BB19" s="1">
        <f t="shared" ref="BB19:BY19" si="37">IF(AD19&gt;=1,1,0)</f>
        <v>0</v>
      </c>
      <c r="BC19" s="1">
        <f t="shared" si="37"/>
        <v>0</v>
      </c>
      <c r="BD19" s="1">
        <f t="shared" si="37"/>
        <v>0</v>
      </c>
      <c r="BE19" s="1">
        <f t="shared" si="37"/>
        <v>0</v>
      </c>
      <c r="BF19" s="1">
        <f t="shared" si="37"/>
        <v>1</v>
      </c>
      <c r="BG19" s="1">
        <f t="shared" si="37"/>
        <v>0</v>
      </c>
      <c r="BH19" s="1">
        <f t="shared" si="37"/>
        <v>0</v>
      </c>
      <c r="BI19" s="1">
        <f t="shared" si="37"/>
        <v>0</v>
      </c>
      <c r="BJ19" s="1">
        <f t="shared" si="37"/>
        <v>0</v>
      </c>
      <c r="BK19" s="1">
        <f t="shared" si="37"/>
        <v>0</v>
      </c>
      <c r="BL19" s="1">
        <f t="shared" si="37"/>
        <v>0</v>
      </c>
      <c r="BM19" s="1">
        <f t="shared" si="37"/>
        <v>0</v>
      </c>
      <c r="BN19" s="1">
        <f t="shared" si="37"/>
        <v>0</v>
      </c>
      <c r="BO19" s="1">
        <f t="shared" si="37"/>
        <v>0</v>
      </c>
      <c r="BP19" s="1">
        <f t="shared" si="37"/>
        <v>0</v>
      </c>
      <c r="BQ19" s="1">
        <f t="shared" si="37"/>
        <v>1</v>
      </c>
      <c r="BR19" s="1">
        <f t="shared" si="37"/>
        <v>1</v>
      </c>
      <c r="BS19" s="1">
        <f t="shared" si="37"/>
        <v>0</v>
      </c>
      <c r="BT19" s="1">
        <f t="shared" si="37"/>
        <v>1</v>
      </c>
      <c r="BU19" s="1">
        <f t="shared" si="37"/>
        <v>0</v>
      </c>
      <c r="BV19" s="1">
        <f t="shared" si="37"/>
        <v>1</v>
      </c>
      <c r="BW19" s="1">
        <f t="shared" si="37"/>
        <v>1</v>
      </c>
      <c r="BX19" s="1">
        <f t="shared" si="37"/>
        <v>0</v>
      </c>
      <c r="BY19" s="1">
        <f t="shared" si="37"/>
        <v>0</v>
      </c>
    </row>
    <row r="20" spans="1:77" x14ac:dyDescent="0.25">
      <c r="A20" s="1" t="s">
        <v>87</v>
      </c>
      <c r="B20" s="1" t="s">
        <v>79</v>
      </c>
      <c r="C20" s="1" t="s">
        <v>79</v>
      </c>
      <c r="D20" s="1">
        <v>2500</v>
      </c>
      <c r="E20" s="1">
        <v>4600</v>
      </c>
      <c r="F20" s="1">
        <v>2300</v>
      </c>
      <c r="G20" s="1">
        <v>3700</v>
      </c>
      <c r="H20" s="1">
        <v>7100</v>
      </c>
      <c r="I20" s="1">
        <v>3200</v>
      </c>
      <c r="J20" s="1">
        <v>3500</v>
      </c>
      <c r="K20" s="1">
        <v>5000</v>
      </c>
      <c r="L20" s="1">
        <v>3700</v>
      </c>
      <c r="M20" s="1">
        <v>6200</v>
      </c>
      <c r="N20" s="1">
        <v>6200</v>
      </c>
      <c r="O20" s="1">
        <v>6500</v>
      </c>
      <c r="P20" s="1">
        <v>7600</v>
      </c>
      <c r="Q20" s="1">
        <v>4500</v>
      </c>
      <c r="R20" s="1">
        <v>5400</v>
      </c>
      <c r="S20" s="1">
        <v>9500</v>
      </c>
      <c r="T20" s="1">
        <v>5800</v>
      </c>
      <c r="U20" s="1">
        <v>7400</v>
      </c>
      <c r="V20" s="1">
        <v>11100</v>
      </c>
      <c r="W20" s="1">
        <v>7100</v>
      </c>
      <c r="X20" s="1">
        <v>7600</v>
      </c>
      <c r="Y20" s="1">
        <v>9400</v>
      </c>
      <c r="Z20" s="1">
        <v>11700</v>
      </c>
      <c r="AA20" s="1">
        <v>6900</v>
      </c>
      <c r="AB20" s="3">
        <f t="shared" si="0"/>
        <v>6187.5</v>
      </c>
      <c r="AC20" s="1">
        <f t="shared" si="1"/>
        <v>2539.4817170643987</v>
      </c>
      <c r="AD20" s="1">
        <f t="shared" ref="AD20:BA20" si="38">(D20-$AB20)/$AC20</f>
        <v>-1.4520679456840873</v>
      </c>
      <c r="AE20" s="1">
        <f t="shared" si="38"/>
        <v>-0.62512755627755623</v>
      </c>
      <c r="AF20" s="1">
        <f t="shared" si="38"/>
        <v>-1.5308241732466141</v>
      </c>
      <c r="AG20" s="1">
        <f t="shared" si="38"/>
        <v>-0.9795305803089267</v>
      </c>
      <c r="AH20" s="1">
        <f t="shared" si="38"/>
        <v>0.35932528825402837</v>
      </c>
      <c r="AI20" s="1">
        <f t="shared" si="38"/>
        <v>-1.1764211492152437</v>
      </c>
      <c r="AJ20" s="1">
        <f t="shared" si="38"/>
        <v>-1.0582868078714533</v>
      </c>
      <c r="AK20" s="1">
        <f t="shared" si="38"/>
        <v>-0.46761510115250271</v>
      </c>
      <c r="AL20" s="1">
        <f t="shared" si="38"/>
        <v>-0.9795305803089267</v>
      </c>
      <c r="AM20" s="1">
        <f t="shared" si="38"/>
        <v>4.9222642226579233E-3</v>
      </c>
      <c r="AN20" s="1">
        <f t="shared" si="38"/>
        <v>4.9222642226579233E-3</v>
      </c>
      <c r="AO20" s="1">
        <f t="shared" si="38"/>
        <v>0.12305660556644807</v>
      </c>
      <c r="AP20" s="1">
        <f t="shared" si="38"/>
        <v>0.55621585716034527</v>
      </c>
      <c r="AQ20" s="1">
        <f t="shared" si="38"/>
        <v>-0.66450567005881955</v>
      </c>
      <c r="AR20" s="1">
        <f t="shared" si="38"/>
        <v>-0.31010264602744914</v>
      </c>
      <c r="AS20" s="1">
        <f t="shared" si="38"/>
        <v>1.3044000190043497</v>
      </c>
      <c r="AT20" s="1">
        <f t="shared" si="38"/>
        <v>-0.15259019090239562</v>
      </c>
      <c r="AU20" s="1">
        <f t="shared" si="38"/>
        <v>0.47745962959781851</v>
      </c>
      <c r="AV20" s="1">
        <f t="shared" si="38"/>
        <v>1.9344498395045637</v>
      </c>
      <c r="AW20" s="1">
        <f t="shared" si="38"/>
        <v>0.35932528825402837</v>
      </c>
      <c r="AX20" s="1">
        <f t="shared" si="38"/>
        <v>0.55621585716034527</v>
      </c>
      <c r="AY20" s="1">
        <f t="shared" si="38"/>
        <v>1.2650219052230862</v>
      </c>
      <c r="AZ20" s="1">
        <f t="shared" si="38"/>
        <v>2.1707185221921441</v>
      </c>
      <c r="BA20" s="1">
        <f t="shared" si="38"/>
        <v>0.28056906069150161</v>
      </c>
      <c r="BB20" s="1">
        <f t="shared" ref="BB20:BY20" si="39">IF(AD20&gt;=1,1,0)</f>
        <v>0</v>
      </c>
      <c r="BC20" s="1">
        <f t="shared" si="39"/>
        <v>0</v>
      </c>
      <c r="BD20" s="1">
        <f t="shared" si="39"/>
        <v>0</v>
      </c>
      <c r="BE20" s="1">
        <f t="shared" si="39"/>
        <v>0</v>
      </c>
      <c r="BF20" s="1">
        <f t="shared" si="39"/>
        <v>0</v>
      </c>
      <c r="BG20" s="1">
        <f t="shared" si="39"/>
        <v>0</v>
      </c>
      <c r="BH20" s="1">
        <f t="shared" si="39"/>
        <v>0</v>
      </c>
      <c r="BI20" s="1">
        <f t="shared" si="39"/>
        <v>0</v>
      </c>
      <c r="BJ20" s="1">
        <f t="shared" si="39"/>
        <v>0</v>
      </c>
      <c r="BK20" s="1">
        <f t="shared" si="39"/>
        <v>0</v>
      </c>
      <c r="BL20" s="1">
        <f t="shared" si="39"/>
        <v>0</v>
      </c>
      <c r="BM20" s="1">
        <f t="shared" si="39"/>
        <v>0</v>
      </c>
      <c r="BN20" s="1">
        <f t="shared" si="39"/>
        <v>0</v>
      </c>
      <c r="BO20" s="1">
        <f t="shared" si="39"/>
        <v>0</v>
      </c>
      <c r="BP20" s="1">
        <f t="shared" si="39"/>
        <v>0</v>
      </c>
      <c r="BQ20" s="1">
        <f t="shared" si="39"/>
        <v>1</v>
      </c>
      <c r="BR20" s="1">
        <f t="shared" si="39"/>
        <v>0</v>
      </c>
      <c r="BS20" s="1">
        <f t="shared" si="39"/>
        <v>0</v>
      </c>
      <c r="BT20" s="1">
        <f t="shared" si="39"/>
        <v>1</v>
      </c>
      <c r="BU20" s="1">
        <f t="shared" si="39"/>
        <v>0</v>
      </c>
      <c r="BV20" s="1">
        <f t="shared" si="39"/>
        <v>0</v>
      </c>
      <c r="BW20" s="1">
        <f t="shared" si="39"/>
        <v>1</v>
      </c>
      <c r="BX20" s="1">
        <f t="shared" si="39"/>
        <v>1</v>
      </c>
      <c r="BY20" s="1">
        <f t="shared" si="39"/>
        <v>0</v>
      </c>
    </row>
    <row r="21" spans="1:77" x14ac:dyDescent="0.25">
      <c r="A21" s="1" t="s">
        <v>88</v>
      </c>
      <c r="B21" s="1" t="s">
        <v>59</v>
      </c>
      <c r="C21" s="1" t="s">
        <v>89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600</v>
      </c>
      <c r="S21" s="1">
        <v>100</v>
      </c>
      <c r="T21" s="1">
        <v>0</v>
      </c>
      <c r="U21" s="1">
        <v>0</v>
      </c>
      <c r="V21" s="1">
        <v>100</v>
      </c>
      <c r="W21" s="1">
        <v>0</v>
      </c>
      <c r="X21" s="1">
        <v>0</v>
      </c>
      <c r="Y21" s="1">
        <v>3300</v>
      </c>
      <c r="Z21" s="1">
        <v>200</v>
      </c>
      <c r="AA21" s="1">
        <v>400</v>
      </c>
      <c r="AB21" s="3">
        <f t="shared" si="0"/>
        <v>195.83333333333334</v>
      </c>
      <c r="AC21" s="1">
        <f t="shared" si="1"/>
        <v>677.25736336483203</v>
      </c>
      <c r="AD21" s="1">
        <f t="shared" ref="AD21:BA21" si="40">(D21-$AB21)/$AC21</f>
        <v>-0.2891564476469779</v>
      </c>
      <c r="AE21" s="1">
        <f t="shared" si="40"/>
        <v>-0.2891564476469779</v>
      </c>
      <c r="AF21" s="1">
        <f t="shared" si="40"/>
        <v>-0.2891564476469779</v>
      </c>
      <c r="AG21" s="1">
        <f t="shared" si="40"/>
        <v>-0.2891564476469779</v>
      </c>
      <c r="AH21" s="1">
        <f t="shared" si="40"/>
        <v>-0.2891564476469779</v>
      </c>
      <c r="AI21" s="1">
        <f t="shared" si="40"/>
        <v>-0.2891564476469779</v>
      </c>
      <c r="AJ21" s="1">
        <f t="shared" si="40"/>
        <v>-0.2891564476469779</v>
      </c>
      <c r="AK21" s="1">
        <f t="shared" si="40"/>
        <v>-0.2891564476469779</v>
      </c>
      <c r="AL21" s="1">
        <f t="shared" si="40"/>
        <v>-0.2891564476469779</v>
      </c>
      <c r="AM21" s="1">
        <f t="shared" si="40"/>
        <v>-0.2891564476469779</v>
      </c>
      <c r="AN21" s="1">
        <f t="shared" si="40"/>
        <v>-0.2891564476469779</v>
      </c>
      <c r="AO21" s="1">
        <f t="shared" si="40"/>
        <v>-0.2891564476469779</v>
      </c>
      <c r="AP21" s="1">
        <f t="shared" si="40"/>
        <v>-0.2891564476469779</v>
      </c>
      <c r="AQ21" s="1">
        <f t="shared" si="40"/>
        <v>-0.2891564476469779</v>
      </c>
      <c r="AR21" s="1">
        <f t="shared" si="40"/>
        <v>0.59676968982461387</v>
      </c>
      <c r="AS21" s="1">
        <f t="shared" si="40"/>
        <v>-0.1415020914017126</v>
      </c>
      <c r="AT21" s="1">
        <f t="shared" si="40"/>
        <v>-0.2891564476469779</v>
      </c>
      <c r="AU21" s="1">
        <f t="shared" si="40"/>
        <v>-0.2891564476469779</v>
      </c>
      <c r="AV21" s="1">
        <f t="shared" si="40"/>
        <v>-0.1415020914017126</v>
      </c>
      <c r="AW21" s="1">
        <f t="shared" si="40"/>
        <v>-0.2891564476469779</v>
      </c>
      <c r="AX21" s="1">
        <f t="shared" si="40"/>
        <v>-0.2891564476469779</v>
      </c>
      <c r="AY21" s="1">
        <f t="shared" si="40"/>
        <v>4.5834373084467765</v>
      </c>
      <c r="AZ21" s="1">
        <f t="shared" si="40"/>
        <v>6.152264843552707E-3</v>
      </c>
      <c r="BA21" s="1">
        <f t="shared" si="40"/>
        <v>0.30146097733408334</v>
      </c>
      <c r="BB21" s="1">
        <f t="shared" ref="BB21:BY21" si="41">IF(AD21&gt;=1,1,0)</f>
        <v>0</v>
      </c>
      <c r="BC21" s="1">
        <f t="shared" si="41"/>
        <v>0</v>
      </c>
      <c r="BD21" s="1">
        <f t="shared" si="41"/>
        <v>0</v>
      </c>
      <c r="BE21" s="1">
        <f t="shared" si="41"/>
        <v>0</v>
      </c>
      <c r="BF21" s="1">
        <f t="shared" si="41"/>
        <v>0</v>
      </c>
      <c r="BG21" s="1">
        <f t="shared" si="41"/>
        <v>0</v>
      </c>
      <c r="BH21" s="1">
        <f t="shared" si="41"/>
        <v>0</v>
      </c>
      <c r="BI21" s="1">
        <f t="shared" si="41"/>
        <v>0</v>
      </c>
      <c r="BJ21" s="1">
        <f t="shared" si="41"/>
        <v>0</v>
      </c>
      <c r="BK21" s="1">
        <f t="shared" si="41"/>
        <v>0</v>
      </c>
      <c r="BL21" s="1">
        <f t="shared" si="41"/>
        <v>0</v>
      </c>
      <c r="BM21" s="1">
        <f t="shared" si="41"/>
        <v>0</v>
      </c>
      <c r="BN21" s="1">
        <f t="shared" si="41"/>
        <v>0</v>
      </c>
      <c r="BO21" s="1">
        <f t="shared" si="41"/>
        <v>0</v>
      </c>
      <c r="BP21" s="1">
        <f t="shared" si="41"/>
        <v>0</v>
      </c>
      <c r="BQ21" s="1">
        <f t="shared" si="41"/>
        <v>0</v>
      </c>
      <c r="BR21" s="1">
        <f t="shared" si="41"/>
        <v>0</v>
      </c>
      <c r="BS21" s="1">
        <f t="shared" si="41"/>
        <v>0</v>
      </c>
      <c r="BT21" s="1">
        <f t="shared" si="41"/>
        <v>0</v>
      </c>
      <c r="BU21" s="1">
        <f t="shared" si="41"/>
        <v>0</v>
      </c>
      <c r="BV21" s="1">
        <f t="shared" si="41"/>
        <v>0</v>
      </c>
      <c r="BW21" s="1">
        <f t="shared" si="41"/>
        <v>1</v>
      </c>
      <c r="BX21" s="1">
        <f t="shared" si="41"/>
        <v>0</v>
      </c>
      <c r="BY21" s="1">
        <f t="shared" si="41"/>
        <v>0</v>
      </c>
    </row>
    <row r="22" spans="1:77" x14ac:dyDescent="0.25">
      <c r="A22" s="1" t="s">
        <v>90</v>
      </c>
      <c r="B22" s="1" t="s">
        <v>75</v>
      </c>
      <c r="C22" s="1" t="s">
        <v>91</v>
      </c>
      <c r="D22" s="1">
        <v>6600</v>
      </c>
      <c r="E22" s="1">
        <v>7000</v>
      </c>
      <c r="F22" s="1">
        <v>5300</v>
      </c>
      <c r="G22" s="1">
        <v>5400</v>
      </c>
      <c r="H22" s="1">
        <v>7800</v>
      </c>
      <c r="I22" s="1">
        <v>7100</v>
      </c>
      <c r="J22" s="1">
        <v>6800</v>
      </c>
      <c r="K22" s="1">
        <v>8500</v>
      </c>
      <c r="L22" s="1">
        <v>7500</v>
      </c>
      <c r="M22" s="1">
        <v>8100</v>
      </c>
      <c r="N22" s="1">
        <v>7500</v>
      </c>
      <c r="O22" s="1">
        <v>8300</v>
      </c>
      <c r="P22" s="1">
        <v>11400</v>
      </c>
      <c r="Q22" s="1">
        <v>6600</v>
      </c>
      <c r="R22" s="1">
        <v>7400</v>
      </c>
      <c r="S22" s="1">
        <v>11700</v>
      </c>
      <c r="T22" s="1">
        <v>7700</v>
      </c>
      <c r="U22" s="1">
        <v>6700</v>
      </c>
      <c r="V22" s="1">
        <v>10900</v>
      </c>
      <c r="W22" s="1">
        <v>7500</v>
      </c>
      <c r="X22" s="1">
        <v>159700</v>
      </c>
      <c r="Y22" s="1">
        <v>38000</v>
      </c>
      <c r="Z22" s="1">
        <v>12200</v>
      </c>
      <c r="AA22" s="1">
        <v>10900</v>
      </c>
      <c r="AB22" s="3">
        <f t="shared" si="0"/>
        <v>15691.666666666666</v>
      </c>
      <c r="AC22" s="1">
        <f t="shared" si="1"/>
        <v>31330.78659092039</v>
      </c>
      <c r="AD22" s="1">
        <f t="shared" ref="AD22:BA22" si="42">(D22-$AB22)/$AC22</f>
        <v>-0.29018316026899293</v>
      </c>
      <c r="AE22" s="1">
        <f t="shared" si="42"/>
        <v>-0.27741616513341855</v>
      </c>
      <c r="AF22" s="1">
        <f t="shared" si="42"/>
        <v>-0.33167589445960971</v>
      </c>
      <c r="AG22" s="1">
        <f t="shared" si="42"/>
        <v>-0.3284841456757161</v>
      </c>
      <c r="AH22" s="1">
        <f t="shared" si="42"/>
        <v>-0.25188217486226977</v>
      </c>
      <c r="AI22" s="1">
        <f t="shared" si="42"/>
        <v>-0.27422441634952494</v>
      </c>
      <c r="AJ22" s="1">
        <f t="shared" si="42"/>
        <v>-0.28379966270120571</v>
      </c>
      <c r="AK22" s="1">
        <f t="shared" si="42"/>
        <v>-0.22953993337501458</v>
      </c>
      <c r="AL22" s="1">
        <f t="shared" si="42"/>
        <v>-0.26145742121395055</v>
      </c>
      <c r="AM22" s="1">
        <f t="shared" si="42"/>
        <v>-0.24230692851058896</v>
      </c>
      <c r="AN22" s="1">
        <f t="shared" si="42"/>
        <v>-0.26145742121395055</v>
      </c>
      <c r="AO22" s="1">
        <f t="shared" si="42"/>
        <v>-0.23592343094280177</v>
      </c>
      <c r="AP22" s="1">
        <f t="shared" si="42"/>
        <v>-0.13697921864210022</v>
      </c>
      <c r="AQ22" s="1">
        <f t="shared" si="42"/>
        <v>-0.29018316026899293</v>
      </c>
      <c r="AR22" s="1">
        <f t="shared" si="42"/>
        <v>-0.26464916999784416</v>
      </c>
      <c r="AS22" s="1">
        <f t="shared" si="42"/>
        <v>-0.12740397229041944</v>
      </c>
      <c r="AT22" s="1">
        <f t="shared" si="42"/>
        <v>-0.25507392364616333</v>
      </c>
      <c r="AU22" s="1">
        <f t="shared" si="42"/>
        <v>-0.28699141148509932</v>
      </c>
      <c r="AV22" s="1">
        <f t="shared" si="42"/>
        <v>-0.15293796256156822</v>
      </c>
      <c r="AW22" s="1">
        <f t="shared" si="42"/>
        <v>-0.26145742121395055</v>
      </c>
      <c r="AX22" s="1">
        <f t="shared" si="42"/>
        <v>4.5963842278721057</v>
      </c>
      <c r="AY22" s="1">
        <f t="shared" si="42"/>
        <v>0.7120259578735969</v>
      </c>
      <c r="AZ22" s="1">
        <f t="shared" si="42"/>
        <v>-0.11144522837095144</v>
      </c>
      <c r="BA22" s="1">
        <f t="shared" si="42"/>
        <v>-0.15293796256156822</v>
      </c>
      <c r="BB22" s="1">
        <f t="shared" ref="BB22:BY22" si="43">IF(AD22&gt;=1,1,0)</f>
        <v>0</v>
      </c>
      <c r="BC22" s="1">
        <f t="shared" si="43"/>
        <v>0</v>
      </c>
      <c r="BD22" s="1">
        <f t="shared" si="43"/>
        <v>0</v>
      </c>
      <c r="BE22" s="1">
        <f t="shared" si="43"/>
        <v>0</v>
      </c>
      <c r="BF22" s="1">
        <f t="shared" si="43"/>
        <v>0</v>
      </c>
      <c r="BG22" s="1">
        <f t="shared" si="43"/>
        <v>0</v>
      </c>
      <c r="BH22" s="1">
        <f t="shared" si="43"/>
        <v>0</v>
      </c>
      <c r="BI22" s="1">
        <f t="shared" si="43"/>
        <v>0</v>
      </c>
      <c r="BJ22" s="1">
        <f t="shared" si="43"/>
        <v>0</v>
      </c>
      <c r="BK22" s="1">
        <f t="shared" si="43"/>
        <v>0</v>
      </c>
      <c r="BL22" s="1">
        <f t="shared" si="43"/>
        <v>0</v>
      </c>
      <c r="BM22" s="1">
        <f t="shared" si="43"/>
        <v>0</v>
      </c>
      <c r="BN22" s="1">
        <f t="shared" si="43"/>
        <v>0</v>
      </c>
      <c r="BO22" s="1">
        <f t="shared" si="43"/>
        <v>0</v>
      </c>
      <c r="BP22" s="1">
        <f t="shared" si="43"/>
        <v>0</v>
      </c>
      <c r="BQ22" s="1">
        <f t="shared" si="43"/>
        <v>0</v>
      </c>
      <c r="BR22" s="1">
        <f t="shared" si="43"/>
        <v>0</v>
      </c>
      <c r="BS22" s="1">
        <f t="shared" si="43"/>
        <v>0</v>
      </c>
      <c r="BT22" s="1">
        <f t="shared" si="43"/>
        <v>0</v>
      </c>
      <c r="BU22" s="1">
        <f t="shared" si="43"/>
        <v>0</v>
      </c>
      <c r="BV22" s="1">
        <f t="shared" si="43"/>
        <v>1</v>
      </c>
      <c r="BW22" s="1">
        <f t="shared" si="43"/>
        <v>0</v>
      </c>
      <c r="BX22" s="1">
        <f t="shared" si="43"/>
        <v>0</v>
      </c>
      <c r="BY22" s="1">
        <f t="shared" si="43"/>
        <v>0</v>
      </c>
    </row>
    <row r="23" spans="1:77" x14ac:dyDescent="0.25">
      <c r="A23" s="1" t="s">
        <v>92</v>
      </c>
      <c r="B23" s="1" t="s">
        <v>72</v>
      </c>
      <c r="C23" s="1" t="s">
        <v>93</v>
      </c>
      <c r="D23" s="1">
        <v>2584100</v>
      </c>
      <c r="E23" s="1">
        <v>3477400</v>
      </c>
      <c r="F23" s="1">
        <v>2687000</v>
      </c>
      <c r="G23" s="1">
        <v>2808600</v>
      </c>
      <c r="H23" s="1">
        <v>3247500</v>
      </c>
      <c r="I23" s="1">
        <v>2702400</v>
      </c>
      <c r="J23" s="1">
        <v>3634800</v>
      </c>
      <c r="K23" s="1">
        <v>3727000</v>
      </c>
      <c r="L23" s="1">
        <v>3137000</v>
      </c>
      <c r="M23" s="1">
        <v>4184200</v>
      </c>
      <c r="N23" s="1">
        <v>4030200</v>
      </c>
      <c r="O23" s="1">
        <v>4988200</v>
      </c>
      <c r="P23" s="1">
        <v>6324800</v>
      </c>
      <c r="Q23" s="1">
        <v>3970500</v>
      </c>
      <c r="R23" s="1">
        <v>3103100</v>
      </c>
      <c r="S23" s="1">
        <v>3175900</v>
      </c>
      <c r="T23" s="1">
        <v>2737400</v>
      </c>
      <c r="U23" s="1">
        <v>2499600</v>
      </c>
      <c r="V23" s="1">
        <v>3632600</v>
      </c>
      <c r="W23" s="1">
        <v>3118400</v>
      </c>
      <c r="X23" s="1">
        <v>2614100</v>
      </c>
      <c r="Y23" s="1">
        <v>3726600</v>
      </c>
      <c r="Z23" s="1">
        <v>3084400</v>
      </c>
      <c r="AA23" s="1">
        <v>2691300</v>
      </c>
      <c r="AB23" s="3">
        <f t="shared" si="0"/>
        <v>3411962.5</v>
      </c>
      <c r="AC23" s="1">
        <f t="shared" si="1"/>
        <v>873016.3959875229</v>
      </c>
      <c r="AD23" s="1">
        <f t="shared" ref="AD23:BA23" si="44">(D23-$AB23)/$AC23</f>
        <v>-0.94827829557949306</v>
      </c>
      <c r="AE23" s="1">
        <f t="shared" si="44"/>
        <v>7.495563691673808E-2</v>
      </c>
      <c r="AF23" s="1">
        <f t="shared" si="44"/>
        <v>-0.83041109345941899</v>
      </c>
      <c r="AG23" s="1">
        <f t="shared" si="44"/>
        <v>-0.6911239041707794</v>
      </c>
      <c r="AH23" s="1">
        <f t="shared" si="44"/>
        <v>-0.18838420533209607</v>
      </c>
      <c r="AI23" s="1">
        <f t="shared" si="44"/>
        <v>-0.81277110402648267</v>
      </c>
      <c r="AJ23" s="1">
        <f t="shared" si="44"/>
        <v>0.25525007436765801</v>
      </c>
      <c r="AK23" s="1">
        <f t="shared" si="44"/>
        <v>0.36086092019341925</v>
      </c>
      <c r="AL23" s="1">
        <f t="shared" si="44"/>
        <v>-0.31495685678271013</v>
      </c>
      <c r="AM23" s="1">
        <f t="shared" si="44"/>
        <v>0.88456242465695545</v>
      </c>
      <c r="AN23" s="1">
        <f t="shared" si="44"/>
        <v>0.7081625303275928</v>
      </c>
      <c r="AO23" s="1">
        <f t="shared" si="44"/>
        <v>1.8055073275193418</v>
      </c>
      <c r="AP23" s="1">
        <f t="shared" si="44"/>
        <v>3.3365209558350952</v>
      </c>
      <c r="AQ23" s="1">
        <f t="shared" si="44"/>
        <v>0.63977893492848281</v>
      </c>
      <c r="AR23" s="1">
        <f t="shared" si="44"/>
        <v>-0.35378774261235552</v>
      </c>
      <c r="AS23" s="1">
        <f t="shared" si="44"/>
        <v>-0.27039870165665686</v>
      </c>
      <c r="AT23" s="1">
        <f t="shared" si="44"/>
        <v>-0.77268021895162753</v>
      </c>
      <c r="AU23" s="1">
        <f t="shared" si="44"/>
        <v>-1.0450691466887863</v>
      </c>
      <c r="AV23" s="1">
        <f t="shared" si="44"/>
        <v>0.25273007587723856</v>
      </c>
      <c r="AW23" s="1">
        <f t="shared" si="44"/>
        <v>-0.3362622985653474</v>
      </c>
      <c r="AX23" s="1">
        <f t="shared" si="44"/>
        <v>-0.91391467980104579</v>
      </c>
      <c r="AY23" s="1">
        <f t="shared" si="44"/>
        <v>0.36040273864970662</v>
      </c>
      <c r="AZ23" s="1">
        <f t="shared" si="44"/>
        <v>-0.37520772978092098</v>
      </c>
      <c r="BA23" s="1">
        <f t="shared" si="44"/>
        <v>-0.82548564186450823</v>
      </c>
      <c r="BB23" s="1">
        <f t="shared" ref="BB23:BY23" si="45">IF(AD23&gt;=1,1,0)</f>
        <v>0</v>
      </c>
      <c r="BC23" s="1">
        <f t="shared" si="45"/>
        <v>0</v>
      </c>
      <c r="BD23" s="1">
        <f t="shared" si="45"/>
        <v>0</v>
      </c>
      <c r="BE23" s="1">
        <f t="shared" si="45"/>
        <v>0</v>
      </c>
      <c r="BF23" s="1">
        <f t="shared" si="45"/>
        <v>0</v>
      </c>
      <c r="BG23" s="1">
        <f t="shared" si="45"/>
        <v>0</v>
      </c>
      <c r="BH23" s="1">
        <f t="shared" si="45"/>
        <v>0</v>
      </c>
      <c r="BI23" s="1">
        <f t="shared" si="45"/>
        <v>0</v>
      </c>
      <c r="BJ23" s="1">
        <f t="shared" si="45"/>
        <v>0</v>
      </c>
      <c r="BK23" s="1">
        <f t="shared" si="45"/>
        <v>0</v>
      </c>
      <c r="BL23" s="1">
        <f t="shared" si="45"/>
        <v>0</v>
      </c>
      <c r="BM23" s="1">
        <f t="shared" si="45"/>
        <v>1</v>
      </c>
      <c r="BN23" s="1">
        <f t="shared" si="45"/>
        <v>1</v>
      </c>
      <c r="BO23" s="1">
        <f t="shared" si="45"/>
        <v>0</v>
      </c>
      <c r="BP23" s="1">
        <f t="shared" si="45"/>
        <v>0</v>
      </c>
      <c r="BQ23" s="1">
        <f t="shared" si="45"/>
        <v>0</v>
      </c>
      <c r="BR23" s="1">
        <f t="shared" si="45"/>
        <v>0</v>
      </c>
      <c r="BS23" s="1">
        <f t="shared" si="45"/>
        <v>0</v>
      </c>
      <c r="BT23" s="1">
        <f t="shared" si="45"/>
        <v>0</v>
      </c>
      <c r="BU23" s="1">
        <f t="shared" si="45"/>
        <v>0</v>
      </c>
      <c r="BV23" s="1">
        <f t="shared" si="45"/>
        <v>0</v>
      </c>
      <c r="BW23" s="1">
        <f t="shared" si="45"/>
        <v>0</v>
      </c>
      <c r="BX23" s="1">
        <f t="shared" si="45"/>
        <v>0</v>
      </c>
      <c r="BY23" s="1">
        <f t="shared" si="45"/>
        <v>0</v>
      </c>
    </row>
    <row r="24" spans="1:77" x14ac:dyDescent="0.25">
      <c r="A24" s="1" t="s">
        <v>94</v>
      </c>
      <c r="B24" s="1" t="s">
        <v>79</v>
      </c>
      <c r="C24" s="1" t="s">
        <v>79</v>
      </c>
      <c r="D24" s="1">
        <v>5000</v>
      </c>
      <c r="E24" s="1">
        <v>9900</v>
      </c>
      <c r="F24" s="1">
        <v>8000</v>
      </c>
      <c r="G24" s="1">
        <v>8900</v>
      </c>
      <c r="H24" s="1">
        <v>12700</v>
      </c>
      <c r="I24" s="1">
        <v>8900</v>
      </c>
      <c r="J24" s="1">
        <v>10600</v>
      </c>
      <c r="K24" s="1">
        <v>13900</v>
      </c>
      <c r="L24" s="1">
        <v>10400</v>
      </c>
      <c r="M24" s="1">
        <v>14600</v>
      </c>
      <c r="N24" s="1">
        <v>14100</v>
      </c>
      <c r="O24" s="1">
        <v>14900</v>
      </c>
      <c r="P24" s="1">
        <v>23900</v>
      </c>
      <c r="Q24" s="1">
        <v>14500</v>
      </c>
      <c r="R24" s="1">
        <v>12900</v>
      </c>
      <c r="S24" s="1">
        <v>21700</v>
      </c>
      <c r="T24" s="1">
        <v>15000</v>
      </c>
      <c r="U24" s="1">
        <v>17700</v>
      </c>
      <c r="V24" s="1">
        <v>20300</v>
      </c>
      <c r="W24" s="1">
        <v>14800</v>
      </c>
      <c r="X24" s="1">
        <v>11500</v>
      </c>
      <c r="Y24" s="1">
        <v>13300</v>
      </c>
      <c r="Z24" s="1">
        <v>12000</v>
      </c>
      <c r="AA24" s="1">
        <v>9800</v>
      </c>
      <c r="AB24" s="3">
        <f t="shared" si="0"/>
        <v>13304.166666666666</v>
      </c>
      <c r="AC24" s="1">
        <f t="shared" si="1"/>
        <v>4392.5311279653934</v>
      </c>
      <c r="AD24" s="1">
        <f t="shared" ref="AD24:BA24" si="46">(D24-$AB24)/$AC24</f>
        <v>-1.8905197082833491</v>
      </c>
      <c r="AE24" s="1">
        <f t="shared" si="46"/>
        <v>-0.77498976501128758</v>
      </c>
      <c r="AF24" s="1">
        <f t="shared" si="46"/>
        <v>-1.2075421919943319</v>
      </c>
      <c r="AG24" s="1">
        <f t="shared" si="46"/>
        <v>-1.0026489371076266</v>
      </c>
      <c r="AH24" s="1">
        <f t="shared" si="46"/>
        <v>-0.13754408314153807</v>
      </c>
      <c r="AI24" s="1">
        <f t="shared" si="46"/>
        <v>-1.0026489371076266</v>
      </c>
      <c r="AJ24" s="1">
        <f t="shared" si="46"/>
        <v>-0.61562834454385018</v>
      </c>
      <c r="AK24" s="1">
        <f t="shared" si="46"/>
        <v>0.13564692337406886</v>
      </c>
      <c r="AL24" s="1">
        <f t="shared" si="46"/>
        <v>-0.66116017896311796</v>
      </c>
      <c r="AM24" s="1">
        <f t="shared" si="46"/>
        <v>0.2950083438415062</v>
      </c>
      <c r="AN24" s="1">
        <f t="shared" si="46"/>
        <v>0.18117875779333667</v>
      </c>
      <c r="AO24" s="1">
        <f t="shared" si="46"/>
        <v>0.36330609547040793</v>
      </c>
      <c r="AP24" s="1">
        <f t="shared" si="46"/>
        <v>2.4122386443374597</v>
      </c>
      <c r="AQ24" s="1">
        <f t="shared" si="46"/>
        <v>0.27224242663187231</v>
      </c>
      <c r="AR24" s="1">
        <f t="shared" si="46"/>
        <v>-9.2012248722270248E-2</v>
      </c>
      <c r="AS24" s="1">
        <f t="shared" si="46"/>
        <v>1.9113884657255138</v>
      </c>
      <c r="AT24" s="1">
        <f t="shared" si="46"/>
        <v>0.38607201268004188</v>
      </c>
      <c r="AU24" s="1">
        <f t="shared" si="46"/>
        <v>1.0007517773401575</v>
      </c>
      <c r="AV24" s="1">
        <f t="shared" si="46"/>
        <v>1.592665624790639</v>
      </c>
      <c r="AW24" s="1">
        <f t="shared" si="46"/>
        <v>0.34054017826077404</v>
      </c>
      <c r="AX24" s="1">
        <f t="shared" si="46"/>
        <v>-0.410735089657145</v>
      </c>
      <c r="AY24" s="1">
        <f t="shared" si="46"/>
        <v>-9.4857988373460824E-4</v>
      </c>
      <c r="AZ24" s="1">
        <f t="shared" si="46"/>
        <v>-0.29690550360897544</v>
      </c>
      <c r="BA24" s="1">
        <f t="shared" si="46"/>
        <v>-0.79775568222092141</v>
      </c>
      <c r="BB24" s="1">
        <f t="shared" ref="BB24:BY24" si="47">IF(AD24&gt;=1,1,0)</f>
        <v>0</v>
      </c>
      <c r="BC24" s="1">
        <f t="shared" si="47"/>
        <v>0</v>
      </c>
      <c r="BD24" s="1">
        <f t="shared" si="47"/>
        <v>0</v>
      </c>
      <c r="BE24" s="1">
        <f t="shared" si="47"/>
        <v>0</v>
      </c>
      <c r="BF24" s="1">
        <f t="shared" si="47"/>
        <v>0</v>
      </c>
      <c r="BG24" s="1">
        <f t="shared" si="47"/>
        <v>0</v>
      </c>
      <c r="BH24" s="1">
        <f t="shared" si="47"/>
        <v>0</v>
      </c>
      <c r="BI24" s="1">
        <f t="shared" si="47"/>
        <v>0</v>
      </c>
      <c r="BJ24" s="1">
        <f t="shared" si="47"/>
        <v>0</v>
      </c>
      <c r="BK24" s="1">
        <f t="shared" si="47"/>
        <v>0</v>
      </c>
      <c r="BL24" s="1">
        <f t="shared" si="47"/>
        <v>0</v>
      </c>
      <c r="BM24" s="1">
        <f t="shared" si="47"/>
        <v>0</v>
      </c>
      <c r="BN24" s="1">
        <f t="shared" si="47"/>
        <v>1</v>
      </c>
      <c r="BO24" s="1">
        <f t="shared" si="47"/>
        <v>0</v>
      </c>
      <c r="BP24" s="1">
        <f t="shared" si="47"/>
        <v>0</v>
      </c>
      <c r="BQ24" s="1">
        <f t="shared" si="47"/>
        <v>1</v>
      </c>
      <c r="BR24" s="1">
        <f t="shared" si="47"/>
        <v>0</v>
      </c>
      <c r="BS24" s="1">
        <f t="shared" si="47"/>
        <v>1</v>
      </c>
      <c r="BT24" s="1">
        <f t="shared" si="47"/>
        <v>1</v>
      </c>
      <c r="BU24" s="1">
        <f t="shared" si="47"/>
        <v>0</v>
      </c>
      <c r="BV24" s="1">
        <f t="shared" si="47"/>
        <v>0</v>
      </c>
      <c r="BW24" s="1">
        <f t="shared" si="47"/>
        <v>0</v>
      </c>
      <c r="BX24" s="1">
        <f t="shared" si="47"/>
        <v>0</v>
      </c>
      <c r="BY24" s="1">
        <f t="shared" si="47"/>
        <v>0</v>
      </c>
    </row>
    <row r="25" spans="1:77" x14ac:dyDescent="0.25">
      <c r="A25" s="1" t="s">
        <v>95</v>
      </c>
      <c r="B25" s="1" t="s">
        <v>54</v>
      </c>
      <c r="C25" s="1" t="s">
        <v>96</v>
      </c>
      <c r="D25" s="1">
        <v>46000</v>
      </c>
      <c r="E25" s="1">
        <v>75300</v>
      </c>
      <c r="F25" s="1">
        <v>56000</v>
      </c>
      <c r="G25" s="1">
        <v>57600</v>
      </c>
      <c r="H25" s="1">
        <v>58600</v>
      </c>
      <c r="I25" s="1">
        <v>384900</v>
      </c>
      <c r="J25" s="1">
        <v>114800</v>
      </c>
      <c r="K25" s="1">
        <v>55400</v>
      </c>
      <c r="L25" s="1">
        <v>76200</v>
      </c>
      <c r="M25" s="1">
        <v>135300</v>
      </c>
      <c r="N25" s="1">
        <v>60200</v>
      </c>
      <c r="O25" s="1">
        <v>38400</v>
      </c>
      <c r="P25" s="1">
        <v>81100</v>
      </c>
      <c r="Q25" s="1">
        <v>58900</v>
      </c>
      <c r="R25" s="1">
        <v>174400</v>
      </c>
      <c r="S25" s="1">
        <v>67100</v>
      </c>
      <c r="T25" s="1">
        <v>46700</v>
      </c>
      <c r="U25" s="1">
        <v>133400</v>
      </c>
      <c r="V25" s="1">
        <v>166700</v>
      </c>
      <c r="W25" s="1">
        <v>52400</v>
      </c>
      <c r="X25" s="1">
        <v>34100</v>
      </c>
      <c r="Y25" s="1">
        <v>37100</v>
      </c>
      <c r="Z25" s="1">
        <v>24300</v>
      </c>
      <c r="AA25" s="1">
        <v>29200</v>
      </c>
      <c r="AB25" s="3">
        <f t="shared" si="0"/>
        <v>86004.166666666672</v>
      </c>
      <c r="AC25" s="1">
        <f t="shared" si="1"/>
        <v>76105.644418261392</v>
      </c>
      <c r="AD25" s="1">
        <f t="shared" ref="AD25:BA25" si="48">(D25-$AB25)/$AC25</f>
        <v>-0.52563994395490266</v>
      </c>
      <c r="AE25" s="1">
        <f t="shared" si="48"/>
        <v>-0.14064878825332211</v>
      </c>
      <c r="AF25" s="1">
        <f t="shared" si="48"/>
        <v>-0.39424364508064313</v>
      </c>
      <c r="AG25" s="1">
        <f t="shared" si="48"/>
        <v>-0.37322023726076159</v>
      </c>
      <c r="AH25" s="1">
        <f t="shared" si="48"/>
        <v>-0.36008060737333564</v>
      </c>
      <c r="AI25" s="1">
        <f t="shared" si="48"/>
        <v>3.9273806248937544</v>
      </c>
      <c r="AJ25" s="1">
        <f t="shared" si="48"/>
        <v>0.3783665923000033</v>
      </c>
      <c r="AK25" s="1">
        <f t="shared" si="48"/>
        <v>-0.40212742301309867</v>
      </c>
      <c r="AL25" s="1">
        <f t="shared" si="48"/>
        <v>-0.12882312135463875</v>
      </c>
      <c r="AM25" s="1">
        <f t="shared" si="48"/>
        <v>0.6477290049922354</v>
      </c>
      <c r="AN25" s="1">
        <f t="shared" si="48"/>
        <v>-0.33905719955345409</v>
      </c>
      <c r="AO25" s="1">
        <f t="shared" si="48"/>
        <v>-0.62550113109934002</v>
      </c>
      <c r="AP25" s="1">
        <f t="shared" si="48"/>
        <v>-6.4438934906251535E-2</v>
      </c>
      <c r="AQ25" s="1">
        <f t="shared" si="48"/>
        <v>-0.35613871840710781</v>
      </c>
      <c r="AR25" s="1">
        <f t="shared" si="48"/>
        <v>1.1614885335905905</v>
      </c>
      <c r="AS25" s="1">
        <f t="shared" si="48"/>
        <v>-0.24839375333021496</v>
      </c>
      <c r="AT25" s="1">
        <f t="shared" si="48"/>
        <v>-0.51644220303370447</v>
      </c>
      <c r="AU25" s="1">
        <f t="shared" si="48"/>
        <v>0.62276370820612614</v>
      </c>
      <c r="AV25" s="1">
        <f t="shared" si="48"/>
        <v>1.0603133834574106</v>
      </c>
      <c r="AW25" s="1">
        <f t="shared" si="48"/>
        <v>-0.44154631267537658</v>
      </c>
      <c r="AX25" s="1">
        <f t="shared" si="48"/>
        <v>-0.68200153961527166</v>
      </c>
      <c r="AY25" s="1">
        <f t="shared" si="48"/>
        <v>-0.64258264995299375</v>
      </c>
      <c r="AZ25" s="1">
        <f t="shared" si="48"/>
        <v>-0.810769912512046</v>
      </c>
      <c r="BA25" s="1">
        <f t="shared" si="48"/>
        <v>-0.74638572606365883</v>
      </c>
      <c r="BB25" s="1">
        <f t="shared" ref="BB25:BY25" si="49">IF(AD25&gt;=1,1,0)</f>
        <v>0</v>
      </c>
      <c r="BC25" s="1">
        <f t="shared" si="49"/>
        <v>0</v>
      </c>
      <c r="BD25" s="1">
        <f t="shared" si="49"/>
        <v>0</v>
      </c>
      <c r="BE25" s="1">
        <f t="shared" si="49"/>
        <v>0</v>
      </c>
      <c r="BF25" s="1">
        <f t="shared" si="49"/>
        <v>0</v>
      </c>
      <c r="BG25" s="1">
        <f t="shared" si="49"/>
        <v>1</v>
      </c>
      <c r="BH25" s="1">
        <f t="shared" si="49"/>
        <v>0</v>
      </c>
      <c r="BI25" s="1">
        <f t="shared" si="49"/>
        <v>0</v>
      </c>
      <c r="BJ25" s="1">
        <f t="shared" si="49"/>
        <v>0</v>
      </c>
      <c r="BK25" s="1">
        <f t="shared" si="49"/>
        <v>0</v>
      </c>
      <c r="BL25" s="1">
        <f t="shared" si="49"/>
        <v>0</v>
      </c>
      <c r="BM25" s="1">
        <f t="shared" si="49"/>
        <v>0</v>
      </c>
      <c r="BN25" s="1">
        <f t="shared" si="49"/>
        <v>0</v>
      </c>
      <c r="BO25" s="1">
        <f t="shared" si="49"/>
        <v>0</v>
      </c>
      <c r="BP25" s="1">
        <f t="shared" si="49"/>
        <v>1</v>
      </c>
      <c r="BQ25" s="1">
        <f t="shared" si="49"/>
        <v>0</v>
      </c>
      <c r="BR25" s="1">
        <f t="shared" si="49"/>
        <v>0</v>
      </c>
      <c r="BS25" s="1">
        <f t="shared" si="49"/>
        <v>0</v>
      </c>
      <c r="BT25" s="1">
        <f t="shared" si="49"/>
        <v>1</v>
      </c>
      <c r="BU25" s="1">
        <f t="shared" si="49"/>
        <v>0</v>
      </c>
      <c r="BV25" s="1">
        <f t="shared" si="49"/>
        <v>0</v>
      </c>
      <c r="BW25" s="1">
        <f t="shared" si="49"/>
        <v>0</v>
      </c>
      <c r="BX25" s="1">
        <f t="shared" si="49"/>
        <v>0</v>
      </c>
      <c r="BY25" s="1">
        <f t="shared" si="49"/>
        <v>0</v>
      </c>
    </row>
    <row r="26" spans="1:77" x14ac:dyDescent="0.25">
      <c r="A26" s="1" t="s">
        <v>97</v>
      </c>
      <c r="B26" s="1" t="s">
        <v>79</v>
      </c>
      <c r="C26" s="1" t="s">
        <v>79</v>
      </c>
      <c r="D26" s="1">
        <v>100</v>
      </c>
      <c r="E26" s="1">
        <v>400</v>
      </c>
      <c r="F26" s="1">
        <v>100</v>
      </c>
      <c r="G26" s="1">
        <v>300</v>
      </c>
      <c r="H26" s="1">
        <v>400</v>
      </c>
      <c r="I26" s="1">
        <v>100</v>
      </c>
      <c r="J26" s="1">
        <v>600</v>
      </c>
      <c r="K26" s="1">
        <v>200</v>
      </c>
      <c r="L26" s="1">
        <v>200</v>
      </c>
      <c r="M26" s="1">
        <v>400</v>
      </c>
      <c r="N26" s="1">
        <v>100</v>
      </c>
      <c r="O26" s="1">
        <v>600</v>
      </c>
      <c r="P26" s="1">
        <v>800</v>
      </c>
      <c r="Q26" s="1">
        <v>100</v>
      </c>
      <c r="R26" s="1">
        <v>400</v>
      </c>
      <c r="S26" s="1">
        <v>1200</v>
      </c>
      <c r="T26" s="1">
        <v>300</v>
      </c>
      <c r="U26" s="1">
        <v>300</v>
      </c>
      <c r="V26" s="1">
        <v>100</v>
      </c>
      <c r="W26" s="1">
        <v>900</v>
      </c>
      <c r="X26" s="1">
        <v>1000</v>
      </c>
      <c r="Y26" s="1">
        <v>800</v>
      </c>
      <c r="Z26" s="1">
        <v>500</v>
      </c>
      <c r="AA26" s="1">
        <v>700</v>
      </c>
      <c r="AB26" s="3">
        <f t="shared" si="0"/>
        <v>441.66666666666669</v>
      </c>
      <c r="AC26" s="1">
        <f t="shared" si="1"/>
        <v>320.21279156844741</v>
      </c>
      <c r="AD26" s="1">
        <f t="shared" ref="AD26:BA26" si="50">(D26-$AB26)/$AC26</f>
        <v>-1.0669988072404453</v>
      </c>
      <c r="AE26" s="1">
        <f t="shared" si="50"/>
        <v>-0.13012180576102997</v>
      </c>
      <c r="AF26" s="1">
        <f t="shared" si="50"/>
        <v>-1.0669988072404453</v>
      </c>
      <c r="AG26" s="1">
        <f t="shared" si="50"/>
        <v>-0.4424141395875017</v>
      </c>
      <c r="AH26" s="1">
        <f t="shared" si="50"/>
        <v>-0.13012180576102997</v>
      </c>
      <c r="AI26" s="1">
        <f t="shared" si="50"/>
        <v>-1.0669988072404453</v>
      </c>
      <c r="AJ26" s="1">
        <f t="shared" si="50"/>
        <v>0.49446286189191357</v>
      </c>
      <c r="AK26" s="1">
        <f t="shared" si="50"/>
        <v>-0.75470647341397346</v>
      </c>
      <c r="AL26" s="1">
        <f t="shared" si="50"/>
        <v>-0.75470647341397346</v>
      </c>
      <c r="AM26" s="1">
        <f t="shared" si="50"/>
        <v>-0.13012180576102997</v>
      </c>
      <c r="AN26" s="1">
        <f t="shared" si="50"/>
        <v>-1.0669988072404453</v>
      </c>
      <c r="AO26" s="1">
        <f t="shared" si="50"/>
        <v>0.49446286189191357</v>
      </c>
      <c r="AP26" s="1">
        <f t="shared" si="50"/>
        <v>1.119047529544857</v>
      </c>
      <c r="AQ26" s="1">
        <f t="shared" si="50"/>
        <v>-1.0669988072404453</v>
      </c>
      <c r="AR26" s="1">
        <f t="shared" si="50"/>
        <v>-0.13012180576102997</v>
      </c>
      <c r="AS26" s="1">
        <f t="shared" si="50"/>
        <v>2.3682168648507438</v>
      </c>
      <c r="AT26" s="1">
        <f t="shared" si="50"/>
        <v>-0.4424141395875017</v>
      </c>
      <c r="AU26" s="1">
        <f t="shared" si="50"/>
        <v>-0.4424141395875017</v>
      </c>
      <c r="AV26" s="1">
        <f t="shared" si="50"/>
        <v>-1.0669988072404453</v>
      </c>
      <c r="AW26" s="1">
        <f t="shared" si="50"/>
        <v>1.4313398633713288</v>
      </c>
      <c r="AX26" s="1">
        <f t="shared" si="50"/>
        <v>1.7436321971978004</v>
      </c>
      <c r="AY26" s="1">
        <f t="shared" si="50"/>
        <v>1.119047529544857</v>
      </c>
      <c r="AZ26" s="1">
        <f t="shared" si="50"/>
        <v>0.18217052806544179</v>
      </c>
      <c r="BA26" s="1">
        <f t="shared" si="50"/>
        <v>0.80675519571838528</v>
      </c>
      <c r="BB26" s="1">
        <f t="shared" ref="BB26:BY26" si="51">IF(AD26&gt;=1,1,0)</f>
        <v>0</v>
      </c>
      <c r="BC26" s="1">
        <f t="shared" si="51"/>
        <v>0</v>
      </c>
      <c r="BD26" s="1">
        <f t="shared" si="51"/>
        <v>0</v>
      </c>
      <c r="BE26" s="1">
        <f t="shared" si="51"/>
        <v>0</v>
      </c>
      <c r="BF26" s="1">
        <f t="shared" si="51"/>
        <v>0</v>
      </c>
      <c r="BG26" s="1">
        <f t="shared" si="51"/>
        <v>0</v>
      </c>
      <c r="BH26" s="1">
        <f t="shared" si="51"/>
        <v>0</v>
      </c>
      <c r="BI26" s="1">
        <f t="shared" si="51"/>
        <v>0</v>
      </c>
      <c r="BJ26" s="1">
        <f t="shared" si="51"/>
        <v>0</v>
      </c>
      <c r="BK26" s="1">
        <f t="shared" si="51"/>
        <v>0</v>
      </c>
      <c r="BL26" s="1">
        <f t="shared" si="51"/>
        <v>0</v>
      </c>
      <c r="BM26" s="1">
        <f t="shared" si="51"/>
        <v>0</v>
      </c>
      <c r="BN26" s="1">
        <f t="shared" si="51"/>
        <v>1</v>
      </c>
      <c r="BO26" s="1">
        <f t="shared" si="51"/>
        <v>0</v>
      </c>
      <c r="BP26" s="1">
        <f t="shared" si="51"/>
        <v>0</v>
      </c>
      <c r="BQ26" s="1">
        <f t="shared" si="51"/>
        <v>1</v>
      </c>
      <c r="BR26" s="1">
        <f t="shared" si="51"/>
        <v>0</v>
      </c>
      <c r="BS26" s="1">
        <f t="shared" si="51"/>
        <v>0</v>
      </c>
      <c r="BT26" s="1">
        <f t="shared" si="51"/>
        <v>0</v>
      </c>
      <c r="BU26" s="1">
        <f t="shared" si="51"/>
        <v>1</v>
      </c>
      <c r="BV26" s="1">
        <f t="shared" si="51"/>
        <v>1</v>
      </c>
      <c r="BW26" s="1">
        <f t="shared" si="51"/>
        <v>1</v>
      </c>
      <c r="BX26" s="1">
        <f t="shared" si="51"/>
        <v>0</v>
      </c>
      <c r="BY26" s="1">
        <f t="shared" si="51"/>
        <v>0</v>
      </c>
    </row>
    <row r="27" spans="1:77" x14ac:dyDescent="0.25">
      <c r="A27" s="1" t="s">
        <v>98</v>
      </c>
      <c r="B27" s="1" t="s">
        <v>79</v>
      </c>
      <c r="C27" s="1" t="s">
        <v>79</v>
      </c>
      <c r="D27" s="1">
        <v>1800</v>
      </c>
      <c r="E27" s="1">
        <v>3800</v>
      </c>
      <c r="F27" s="1">
        <v>3600</v>
      </c>
      <c r="G27" s="1">
        <v>1700</v>
      </c>
      <c r="H27" s="1">
        <v>4000</v>
      </c>
      <c r="I27" s="1">
        <v>2000</v>
      </c>
      <c r="J27" s="1">
        <v>1800</v>
      </c>
      <c r="K27" s="1">
        <v>3300</v>
      </c>
      <c r="L27" s="1">
        <v>2300</v>
      </c>
      <c r="M27" s="1">
        <v>2400</v>
      </c>
      <c r="N27" s="1">
        <v>3800</v>
      </c>
      <c r="O27" s="1">
        <v>2600</v>
      </c>
      <c r="P27" s="1">
        <v>4000</v>
      </c>
      <c r="Q27" s="1">
        <v>2200</v>
      </c>
      <c r="R27" s="1">
        <v>2400</v>
      </c>
      <c r="S27" s="1">
        <v>4600</v>
      </c>
      <c r="T27" s="1">
        <v>2800</v>
      </c>
      <c r="U27" s="1">
        <v>3400</v>
      </c>
      <c r="V27" s="1">
        <v>5700</v>
      </c>
      <c r="W27" s="1">
        <v>2100</v>
      </c>
      <c r="X27" s="1">
        <v>4700</v>
      </c>
      <c r="Y27" s="1">
        <v>4700</v>
      </c>
      <c r="Z27" s="1">
        <v>2400</v>
      </c>
      <c r="AA27" s="1">
        <v>3000</v>
      </c>
      <c r="AB27" s="3">
        <f t="shared" si="0"/>
        <v>3129.1666666666665</v>
      </c>
      <c r="AC27" s="1">
        <f t="shared" si="1"/>
        <v>1101.5716703544697</v>
      </c>
      <c r="AD27" s="1">
        <f t="shared" ref="AD27:BA27" si="52">(D27-$AB27)/$AC27</f>
        <v>-1.2066093404879958</v>
      </c>
      <c r="AE27" s="1">
        <f t="shared" si="52"/>
        <v>0.60897838187638675</v>
      </c>
      <c r="AF27" s="1">
        <f t="shared" si="52"/>
        <v>0.42741960963994852</v>
      </c>
      <c r="AG27" s="1">
        <f t="shared" si="52"/>
        <v>-1.297388726606215</v>
      </c>
      <c r="AH27" s="1">
        <f t="shared" si="52"/>
        <v>0.79053715411282499</v>
      </c>
      <c r="AI27" s="1">
        <f t="shared" si="52"/>
        <v>-1.0250505682515574</v>
      </c>
      <c r="AJ27" s="1">
        <f t="shared" si="52"/>
        <v>-1.2066093404879958</v>
      </c>
      <c r="AK27" s="1">
        <f t="shared" si="52"/>
        <v>0.15508145128529113</v>
      </c>
      <c r="AL27" s="1">
        <f t="shared" si="52"/>
        <v>-0.75271240989690014</v>
      </c>
      <c r="AM27" s="1">
        <f t="shared" si="52"/>
        <v>-0.66193302377868102</v>
      </c>
      <c r="AN27" s="1">
        <f t="shared" si="52"/>
        <v>0.60897838187638675</v>
      </c>
      <c r="AO27" s="1">
        <f t="shared" si="52"/>
        <v>-0.48037425154224273</v>
      </c>
      <c r="AP27" s="1">
        <f t="shared" si="52"/>
        <v>0.79053715411282499</v>
      </c>
      <c r="AQ27" s="1">
        <f t="shared" si="52"/>
        <v>-0.84349179601511926</v>
      </c>
      <c r="AR27" s="1">
        <f t="shared" si="52"/>
        <v>-0.66193302377868102</v>
      </c>
      <c r="AS27" s="1">
        <f t="shared" si="52"/>
        <v>1.3352134708221397</v>
      </c>
      <c r="AT27" s="1">
        <f t="shared" si="52"/>
        <v>-0.29881547930580449</v>
      </c>
      <c r="AU27" s="1">
        <f t="shared" si="52"/>
        <v>0.24586083740351028</v>
      </c>
      <c r="AV27" s="1">
        <f t="shared" si="52"/>
        <v>2.3337867181225502</v>
      </c>
      <c r="AW27" s="1">
        <f t="shared" si="52"/>
        <v>-0.93427118213333837</v>
      </c>
      <c r="AX27" s="1">
        <f t="shared" si="52"/>
        <v>1.4259928569403588</v>
      </c>
      <c r="AY27" s="1">
        <f t="shared" si="52"/>
        <v>1.4259928569403588</v>
      </c>
      <c r="AZ27" s="1">
        <f t="shared" si="52"/>
        <v>-0.66193302377868102</v>
      </c>
      <c r="BA27" s="1">
        <f t="shared" si="52"/>
        <v>-0.11725670706936624</v>
      </c>
      <c r="BB27" s="1">
        <f t="shared" ref="BB27:BY27" si="53">IF(AD27&gt;=1,1,0)</f>
        <v>0</v>
      </c>
      <c r="BC27" s="1">
        <f t="shared" si="53"/>
        <v>0</v>
      </c>
      <c r="BD27" s="1">
        <f t="shared" si="53"/>
        <v>0</v>
      </c>
      <c r="BE27" s="1">
        <f t="shared" si="53"/>
        <v>0</v>
      </c>
      <c r="BF27" s="1">
        <f t="shared" si="53"/>
        <v>0</v>
      </c>
      <c r="BG27" s="1">
        <f t="shared" si="53"/>
        <v>0</v>
      </c>
      <c r="BH27" s="1">
        <f t="shared" si="53"/>
        <v>0</v>
      </c>
      <c r="BI27" s="1">
        <f t="shared" si="53"/>
        <v>0</v>
      </c>
      <c r="BJ27" s="1">
        <f t="shared" si="53"/>
        <v>0</v>
      </c>
      <c r="BK27" s="1">
        <f t="shared" si="53"/>
        <v>0</v>
      </c>
      <c r="BL27" s="1">
        <f t="shared" si="53"/>
        <v>0</v>
      </c>
      <c r="BM27" s="1">
        <f t="shared" si="53"/>
        <v>0</v>
      </c>
      <c r="BN27" s="1">
        <f t="shared" si="53"/>
        <v>0</v>
      </c>
      <c r="BO27" s="1">
        <f t="shared" si="53"/>
        <v>0</v>
      </c>
      <c r="BP27" s="1">
        <f t="shared" si="53"/>
        <v>0</v>
      </c>
      <c r="BQ27" s="1">
        <f t="shared" si="53"/>
        <v>1</v>
      </c>
      <c r="BR27" s="1">
        <f t="shared" si="53"/>
        <v>0</v>
      </c>
      <c r="BS27" s="1">
        <f t="shared" si="53"/>
        <v>0</v>
      </c>
      <c r="BT27" s="1">
        <f t="shared" si="53"/>
        <v>1</v>
      </c>
      <c r="BU27" s="1">
        <f t="shared" si="53"/>
        <v>0</v>
      </c>
      <c r="BV27" s="1">
        <f t="shared" si="53"/>
        <v>1</v>
      </c>
      <c r="BW27" s="1">
        <f t="shared" si="53"/>
        <v>1</v>
      </c>
      <c r="BX27" s="1">
        <f t="shared" si="53"/>
        <v>0</v>
      </c>
      <c r="BY27" s="1">
        <f t="shared" si="53"/>
        <v>0</v>
      </c>
    </row>
    <row r="28" spans="1:77" x14ac:dyDescent="0.25">
      <c r="A28" s="1" t="s">
        <v>99</v>
      </c>
      <c r="B28" s="1" t="s">
        <v>54</v>
      </c>
      <c r="C28" s="1" t="s">
        <v>100</v>
      </c>
      <c r="D28" s="1">
        <v>15700</v>
      </c>
      <c r="E28" s="1">
        <v>65100</v>
      </c>
      <c r="F28" s="1">
        <v>26100</v>
      </c>
      <c r="G28" s="1">
        <v>27300</v>
      </c>
      <c r="H28" s="1">
        <v>59500</v>
      </c>
      <c r="I28" s="1">
        <v>37900</v>
      </c>
      <c r="J28" s="1">
        <v>162000</v>
      </c>
      <c r="K28" s="1">
        <v>24500</v>
      </c>
      <c r="L28" s="1">
        <v>17200</v>
      </c>
      <c r="M28" s="1">
        <v>21300</v>
      </c>
      <c r="N28" s="1">
        <v>21800</v>
      </c>
      <c r="O28" s="1">
        <v>25900</v>
      </c>
      <c r="P28" s="1">
        <v>25100</v>
      </c>
      <c r="Q28" s="1">
        <v>19200</v>
      </c>
      <c r="R28" s="1">
        <v>24000</v>
      </c>
      <c r="S28" s="1">
        <v>27400</v>
      </c>
      <c r="T28" s="1">
        <v>54700</v>
      </c>
      <c r="U28" s="1">
        <v>66600</v>
      </c>
      <c r="V28" s="1">
        <v>134300</v>
      </c>
      <c r="W28" s="1">
        <v>22800</v>
      </c>
      <c r="X28" s="1">
        <v>18400</v>
      </c>
      <c r="Y28" s="1">
        <v>22300</v>
      </c>
      <c r="Z28" s="1">
        <v>21600</v>
      </c>
      <c r="AA28" s="1">
        <v>15700</v>
      </c>
      <c r="AB28" s="3">
        <f t="shared" si="0"/>
        <v>39850</v>
      </c>
      <c r="AC28" s="1">
        <f t="shared" si="1"/>
        <v>36933.100506774113</v>
      </c>
      <c r="AD28" s="1">
        <f t="shared" ref="AD28:BA28" si="54">(D28-$AB28)/$AC28</f>
        <v>-0.65388498849617316</v>
      </c>
      <c r="AE28" s="1">
        <f t="shared" si="54"/>
        <v>0.68366856975272772</v>
      </c>
      <c r="AF28" s="1">
        <f t="shared" si="54"/>
        <v>-0.37229476570693093</v>
      </c>
      <c r="AG28" s="1">
        <f t="shared" si="54"/>
        <v>-0.33980358615432604</v>
      </c>
      <c r="AH28" s="1">
        <f t="shared" si="54"/>
        <v>0.53204306517390487</v>
      </c>
      <c r="AI28" s="1">
        <f t="shared" si="54"/>
        <v>-5.2798166772982928E-2</v>
      </c>
      <c r="AJ28" s="1">
        <f t="shared" si="54"/>
        <v>3.3073313186255717</v>
      </c>
      <c r="AK28" s="1">
        <f t="shared" si="54"/>
        <v>-0.41561633844373741</v>
      </c>
      <c r="AL28" s="1">
        <f t="shared" si="54"/>
        <v>-0.61327101405541706</v>
      </c>
      <c r="AM28" s="1">
        <f t="shared" si="54"/>
        <v>-0.50225948391735042</v>
      </c>
      <c r="AN28" s="1">
        <f t="shared" si="54"/>
        <v>-0.48872149243709839</v>
      </c>
      <c r="AO28" s="1">
        <f t="shared" si="54"/>
        <v>-0.37770996229903175</v>
      </c>
      <c r="AP28" s="1">
        <f t="shared" si="54"/>
        <v>-0.39937074866743499</v>
      </c>
      <c r="AQ28" s="1">
        <f t="shared" si="54"/>
        <v>-0.55911904813440894</v>
      </c>
      <c r="AR28" s="1">
        <f t="shared" si="54"/>
        <v>-0.42915432992398944</v>
      </c>
      <c r="AS28" s="1">
        <f t="shared" si="54"/>
        <v>-0.3370959878582756</v>
      </c>
      <c r="AT28" s="1">
        <f t="shared" si="54"/>
        <v>0.40207834696348538</v>
      </c>
      <c r="AU28" s="1">
        <f t="shared" si="54"/>
        <v>0.72428254419348381</v>
      </c>
      <c r="AV28" s="1">
        <f t="shared" si="54"/>
        <v>2.557326590619609</v>
      </c>
      <c r="AW28" s="1">
        <f t="shared" si="54"/>
        <v>-0.46164550947659433</v>
      </c>
      <c r="AX28" s="1">
        <f t="shared" si="54"/>
        <v>-0.58077983450281223</v>
      </c>
      <c r="AY28" s="1">
        <f t="shared" si="54"/>
        <v>-0.47518350095684636</v>
      </c>
      <c r="AZ28" s="1">
        <f t="shared" si="54"/>
        <v>-0.49413668902919922</v>
      </c>
      <c r="BA28" s="1">
        <f t="shared" si="54"/>
        <v>-0.65388498849617316</v>
      </c>
      <c r="BB28" s="1">
        <f t="shared" ref="BB28:BY28" si="55">IF(AD28&gt;=1,1,0)</f>
        <v>0</v>
      </c>
      <c r="BC28" s="1">
        <f t="shared" si="55"/>
        <v>0</v>
      </c>
      <c r="BD28" s="1">
        <f t="shared" si="55"/>
        <v>0</v>
      </c>
      <c r="BE28" s="1">
        <f t="shared" si="55"/>
        <v>0</v>
      </c>
      <c r="BF28" s="1">
        <f t="shared" si="55"/>
        <v>0</v>
      </c>
      <c r="BG28" s="1">
        <f t="shared" si="55"/>
        <v>0</v>
      </c>
      <c r="BH28" s="1">
        <f t="shared" si="55"/>
        <v>1</v>
      </c>
      <c r="BI28" s="1">
        <f t="shared" si="55"/>
        <v>0</v>
      </c>
      <c r="BJ28" s="1">
        <f t="shared" si="55"/>
        <v>0</v>
      </c>
      <c r="BK28" s="1">
        <f t="shared" si="55"/>
        <v>0</v>
      </c>
      <c r="BL28" s="1">
        <f t="shared" si="55"/>
        <v>0</v>
      </c>
      <c r="BM28" s="1">
        <f t="shared" si="55"/>
        <v>0</v>
      </c>
      <c r="BN28" s="1">
        <f t="shared" si="55"/>
        <v>0</v>
      </c>
      <c r="BO28" s="1">
        <f t="shared" si="55"/>
        <v>0</v>
      </c>
      <c r="BP28" s="1">
        <f t="shared" si="55"/>
        <v>0</v>
      </c>
      <c r="BQ28" s="1">
        <f t="shared" si="55"/>
        <v>0</v>
      </c>
      <c r="BR28" s="1">
        <f t="shared" si="55"/>
        <v>0</v>
      </c>
      <c r="BS28" s="1">
        <f t="shared" si="55"/>
        <v>0</v>
      </c>
      <c r="BT28" s="1">
        <f t="shared" si="55"/>
        <v>1</v>
      </c>
      <c r="BU28" s="1">
        <f t="shared" si="55"/>
        <v>0</v>
      </c>
      <c r="BV28" s="1">
        <f t="shared" si="55"/>
        <v>0</v>
      </c>
      <c r="BW28" s="1">
        <f t="shared" si="55"/>
        <v>0</v>
      </c>
      <c r="BX28" s="1">
        <f t="shared" si="55"/>
        <v>0</v>
      </c>
      <c r="BY28" s="1">
        <f t="shared" si="55"/>
        <v>0</v>
      </c>
    </row>
    <row r="29" spans="1:77" x14ac:dyDescent="0.25">
      <c r="A29" s="1" t="s">
        <v>101</v>
      </c>
      <c r="B29" s="1" t="s">
        <v>54</v>
      </c>
      <c r="C29" s="1" t="s">
        <v>102</v>
      </c>
      <c r="D29" s="1">
        <v>6600</v>
      </c>
      <c r="E29" s="1">
        <v>8800</v>
      </c>
      <c r="F29" s="1">
        <v>4700</v>
      </c>
      <c r="G29" s="1">
        <v>4800</v>
      </c>
      <c r="H29" s="1">
        <v>9600</v>
      </c>
      <c r="I29" s="1">
        <v>5500</v>
      </c>
      <c r="J29" s="1">
        <v>5000</v>
      </c>
      <c r="K29" s="1">
        <v>6900</v>
      </c>
      <c r="L29" s="1">
        <v>6200</v>
      </c>
      <c r="M29" s="1">
        <v>8700</v>
      </c>
      <c r="N29" s="1">
        <v>5800</v>
      </c>
      <c r="O29" s="1">
        <v>6800</v>
      </c>
      <c r="P29" s="1">
        <v>6800</v>
      </c>
      <c r="Q29" s="1">
        <v>5000</v>
      </c>
      <c r="R29" s="1">
        <v>5000</v>
      </c>
      <c r="S29" s="1">
        <v>9200</v>
      </c>
      <c r="T29" s="1">
        <v>4900</v>
      </c>
      <c r="U29" s="1">
        <v>5900</v>
      </c>
      <c r="V29" s="1">
        <v>8100</v>
      </c>
      <c r="W29" s="1">
        <v>4900</v>
      </c>
      <c r="X29" s="1">
        <v>5000</v>
      </c>
      <c r="Y29" s="1">
        <v>6200</v>
      </c>
      <c r="Z29" s="1">
        <v>6900</v>
      </c>
      <c r="AA29" s="1">
        <v>5000</v>
      </c>
      <c r="AB29" s="3">
        <f t="shared" si="0"/>
        <v>6345.833333333333</v>
      </c>
      <c r="AC29" s="1">
        <f t="shared" si="1"/>
        <v>1533.1068673339992</v>
      </c>
      <c r="AD29" s="1">
        <f t="shared" ref="AD29:BA29" si="56">(D29-$AB29)/$AC29</f>
        <v>0.16578535526923238</v>
      </c>
      <c r="AE29" s="1">
        <f t="shared" si="56"/>
        <v>1.6007799057963568</v>
      </c>
      <c r="AF29" s="1">
        <f t="shared" si="56"/>
        <v>-1.0735281201860114</v>
      </c>
      <c r="AG29" s="1">
        <f t="shared" si="56"/>
        <v>-1.0083010951620512</v>
      </c>
      <c r="AH29" s="1">
        <f t="shared" si="56"/>
        <v>2.1225961059880385</v>
      </c>
      <c r="AI29" s="1">
        <f t="shared" si="56"/>
        <v>-0.55171191999432989</v>
      </c>
      <c r="AJ29" s="1">
        <f t="shared" si="56"/>
        <v>-0.87784704511413092</v>
      </c>
      <c r="AK29" s="1">
        <f t="shared" si="56"/>
        <v>0.36146643034111298</v>
      </c>
      <c r="AL29" s="1">
        <f t="shared" si="56"/>
        <v>-9.512274482660843E-2</v>
      </c>
      <c r="AM29" s="1">
        <f t="shared" si="56"/>
        <v>1.5355528807723966</v>
      </c>
      <c r="AN29" s="1">
        <f t="shared" si="56"/>
        <v>-0.35603084492244924</v>
      </c>
      <c r="AO29" s="1">
        <f t="shared" si="56"/>
        <v>0.29623940531715282</v>
      </c>
      <c r="AP29" s="1">
        <f t="shared" si="56"/>
        <v>0.29623940531715282</v>
      </c>
      <c r="AQ29" s="1">
        <f t="shared" si="56"/>
        <v>-0.87784704511413092</v>
      </c>
      <c r="AR29" s="1">
        <f t="shared" si="56"/>
        <v>-0.87784704511413092</v>
      </c>
      <c r="AS29" s="1">
        <f t="shared" si="56"/>
        <v>1.8616880058921976</v>
      </c>
      <c r="AT29" s="1">
        <f t="shared" si="56"/>
        <v>-0.94307407013809108</v>
      </c>
      <c r="AU29" s="1">
        <f t="shared" si="56"/>
        <v>-0.29080381989848902</v>
      </c>
      <c r="AV29" s="1">
        <f t="shared" si="56"/>
        <v>1.1441907306286354</v>
      </c>
      <c r="AW29" s="1">
        <f t="shared" si="56"/>
        <v>-0.94307407013809108</v>
      </c>
      <c r="AX29" s="1">
        <f t="shared" si="56"/>
        <v>-0.87784704511413092</v>
      </c>
      <c r="AY29" s="1">
        <f t="shared" si="56"/>
        <v>-9.512274482660843E-2</v>
      </c>
      <c r="AZ29" s="1">
        <f t="shared" si="56"/>
        <v>0.36146643034111298</v>
      </c>
      <c r="BA29" s="1">
        <f t="shared" si="56"/>
        <v>-0.87784704511413092</v>
      </c>
      <c r="BB29" s="1">
        <f t="shared" ref="BB29:BY29" si="57">IF(AD29&gt;=1,1,0)</f>
        <v>0</v>
      </c>
      <c r="BC29" s="1">
        <f t="shared" si="57"/>
        <v>1</v>
      </c>
      <c r="BD29" s="1">
        <f t="shared" si="57"/>
        <v>0</v>
      </c>
      <c r="BE29" s="1">
        <f t="shared" si="57"/>
        <v>0</v>
      </c>
      <c r="BF29" s="1">
        <f t="shared" si="57"/>
        <v>1</v>
      </c>
      <c r="BG29" s="1">
        <f t="shared" si="57"/>
        <v>0</v>
      </c>
      <c r="BH29" s="1">
        <f t="shared" si="57"/>
        <v>0</v>
      </c>
      <c r="BI29" s="1">
        <f t="shared" si="57"/>
        <v>0</v>
      </c>
      <c r="BJ29" s="1">
        <f t="shared" si="57"/>
        <v>0</v>
      </c>
      <c r="BK29" s="1">
        <f t="shared" si="57"/>
        <v>1</v>
      </c>
      <c r="BL29" s="1">
        <f t="shared" si="57"/>
        <v>0</v>
      </c>
      <c r="BM29" s="1">
        <f t="shared" si="57"/>
        <v>0</v>
      </c>
      <c r="BN29" s="1">
        <f t="shared" si="57"/>
        <v>0</v>
      </c>
      <c r="BO29" s="1">
        <f t="shared" si="57"/>
        <v>0</v>
      </c>
      <c r="BP29" s="1">
        <f t="shared" si="57"/>
        <v>0</v>
      </c>
      <c r="BQ29" s="1">
        <f t="shared" si="57"/>
        <v>1</v>
      </c>
      <c r="BR29" s="1">
        <f t="shared" si="57"/>
        <v>0</v>
      </c>
      <c r="BS29" s="1">
        <f t="shared" si="57"/>
        <v>0</v>
      </c>
      <c r="BT29" s="1">
        <f t="shared" si="57"/>
        <v>1</v>
      </c>
      <c r="BU29" s="1">
        <f t="shared" si="57"/>
        <v>0</v>
      </c>
      <c r="BV29" s="1">
        <f t="shared" si="57"/>
        <v>0</v>
      </c>
      <c r="BW29" s="1">
        <f t="shared" si="57"/>
        <v>0</v>
      </c>
      <c r="BX29" s="1">
        <f t="shared" si="57"/>
        <v>0</v>
      </c>
      <c r="BY29" s="1">
        <f t="shared" si="57"/>
        <v>0</v>
      </c>
    </row>
    <row r="30" spans="1:77" x14ac:dyDescent="0.25">
      <c r="A30" s="1" t="s">
        <v>103</v>
      </c>
      <c r="B30" s="1" t="s">
        <v>72</v>
      </c>
      <c r="C30" s="1" t="s">
        <v>72</v>
      </c>
      <c r="D30" s="1">
        <v>0</v>
      </c>
      <c r="E30" s="1">
        <v>0</v>
      </c>
      <c r="F30" s="1">
        <v>0</v>
      </c>
      <c r="G30" s="1">
        <v>0</v>
      </c>
      <c r="H30" s="1">
        <v>100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200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3">
        <f t="shared" si="0"/>
        <v>12.5</v>
      </c>
      <c r="AC30" s="1">
        <f t="shared" si="1"/>
        <v>44.842720314644062</v>
      </c>
      <c r="AD30" s="1">
        <f t="shared" ref="AD30:BA30" si="58">(D30-$AB30)/$AC30</f>
        <v>-0.27875204519913876</v>
      </c>
      <c r="AE30" s="1">
        <f t="shared" si="58"/>
        <v>-0.27875204519913876</v>
      </c>
      <c r="AF30" s="1">
        <f t="shared" si="58"/>
        <v>-0.27875204519913876</v>
      </c>
      <c r="AG30" s="1">
        <f t="shared" si="58"/>
        <v>-0.27875204519913876</v>
      </c>
      <c r="AH30" s="1">
        <f t="shared" si="58"/>
        <v>1.9512643163939714</v>
      </c>
      <c r="AI30" s="1">
        <f t="shared" si="58"/>
        <v>-0.27875204519913876</v>
      </c>
      <c r="AJ30" s="1">
        <f t="shared" si="58"/>
        <v>-0.27875204519913876</v>
      </c>
      <c r="AK30" s="1">
        <f t="shared" si="58"/>
        <v>-0.27875204519913876</v>
      </c>
      <c r="AL30" s="1">
        <f t="shared" si="58"/>
        <v>-0.27875204519913876</v>
      </c>
      <c r="AM30" s="1">
        <f t="shared" si="58"/>
        <v>-0.27875204519913876</v>
      </c>
      <c r="AN30" s="1">
        <f t="shared" si="58"/>
        <v>-0.27875204519913876</v>
      </c>
      <c r="AO30" s="1">
        <f t="shared" si="58"/>
        <v>-0.27875204519913876</v>
      </c>
      <c r="AP30" s="1">
        <f t="shared" si="58"/>
        <v>-0.27875204519913876</v>
      </c>
      <c r="AQ30" s="1">
        <f t="shared" si="58"/>
        <v>-0.27875204519913876</v>
      </c>
      <c r="AR30" s="1">
        <f t="shared" si="58"/>
        <v>-0.27875204519913876</v>
      </c>
      <c r="AS30" s="1">
        <f t="shared" si="58"/>
        <v>-0.27875204519913876</v>
      </c>
      <c r="AT30" s="1">
        <f t="shared" si="58"/>
        <v>4.1812806779870817</v>
      </c>
      <c r="AU30" s="1">
        <f t="shared" si="58"/>
        <v>-0.27875204519913876</v>
      </c>
      <c r="AV30" s="1">
        <f t="shared" si="58"/>
        <v>-0.27875204519913876</v>
      </c>
      <c r="AW30" s="1">
        <f t="shared" si="58"/>
        <v>-0.27875204519913876</v>
      </c>
      <c r="AX30" s="1">
        <f t="shared" si="58"/>
        <v>-0.27875204519913876</v>
      </c>
      <c r="AY30" s="1">
        <f t="shared" si="58"/>
        <v>-0.27875204519913876</v>
      </c>
      <c r="AZ30" s="1">
        <f t="shared" si="58"/>
        <v>-0.27875204519913876</v>
      </c>
      <c r="BA30" s="1">
        <f t="shared" si="58"/>
        <v>-0.27875204519913876</v>
      </c>
      <c r="BB30" s="1">
        <f t="shared" ref="BB30:BY30" si="59">IF(AD30&gt;=1,1,0)</f>
        <v>0</v>
      </c>
      <c r="BC30" s="1">
        <f t="shared" si="59"/>
        <v>0</v>
      </c>
      <c r="BD30" s="1">
        <f t="shared" si="59"/>
        <v>0</v>
      </c>
      <c r="BE30" s="1">
        <f t="shared" si="59"/>
        <v>0</v>
      </c>
      <c r="BF30" s="1">
        <f t="shared" si="59"/>
        <v>1</v>
      </c>
      <c r="BG30" s="1">
        <f t="shared" si="59"/>
        <v>0</v>
      </c>
      <c r="BH30" s="1">
        <f t="shared" si="59"/>
        <v>0</v>
      </c>
      <c r="BI30" s="1">
        <f t="shared" si="59"/>
        <v>0</v>
      </c>
      <c r="BJ30" s="1">
        <f t="shared" si="59"/>
        <v>0</v>
      </c>
      <c r="BK30" s="1">
        <f t="shared" si="59"/>
        <v>0</v>
      </c>
      <c r="BL30" s="1">
        <f t="shared" si="59"/>
        <v>0</v>
      </c>
      <c r="BM30" s="1">
        <f t="shared" si="59"/>
        <v>0</v>
      </c>
      <c r="BN30" s="1">
        <f t="shared" si="59"/>
        <v>0</v>
      </c>
      <c r="BO30" s="1">
        <f t="shared" si="59"/>
        <v>0</v>
      </c>
      <c r="BP30" s="1">
        <f t="shared" si="59"/>
        <v>0</v>
      </c>
      <c r="BQ30" s="1">
        <f t="shared" si="59"/>
        <v>0</v>
      </c>
      <c r="BR30" s="1">
        <f t="shared" si="59"/>
        <v>1</v>
      </c>
      <c r="BS30" s="1">
        <f t="shared" si="59"/>
        <v>0</v>
      </c>
      <c r="BT30" s="1">
        <f t="shared" si="59"/>
        <v>0</v>
      </c>
      <c r="BU30" s="1">
        <f t="shared" si="59"/>
        <v>0</v>
      </c>
      <c r="BV30" s="1">
        <f t="shared" si="59"/>
        <v>0</v>
      </c>
      <c r="BW30" s="1">
        <f t="shared" si="59"/>
        <v>0</v>
      </c>
      <c r="BX30" s="1">
        <f t="shared" si="59"/>
        <v>0</v>
      </c>
      <c r="BY30" s="1">
        <f t="shared" si="59"/>
        <v>0</v>
      </c>
    </row>
    <row r="31" spans="1:77" x14ac:dyDescent="0.25">
      <c r="A31" s="1" t="s">
        <v>104</v>
      </c>
      <c r="B31" s="1" t="s">
        <v>75</v>
      </c>
      <c r="C31" s="1" t="s">
        <v>105</v>
      </c>
      <c r="D31" s="1">
        <v>4000</v>
      </c>
      <c r="E31" s="1">
        <v>5000</v>
      </c>
      <c r="F31" s="1">
        <v>6800</v>
      </c>
      <c r="G31" s="1">
        <v>1200</v>
      </c>
      <c r="H31" s="1">
        <v>2500</v>
      </c>
      <c r="I31" s="1">
        <v>700</v>
      </c>
      <c r="J31" s="1">
        <v>1500</v>
      </c>
      <c r="K31" s="1">
        <v>1000</v>
      </c>
      <c r="L31" s="1">
        <v>800</v>
      </c>
      <c r="M31" s="1">
        <v>1600</v>
      </c>
      <c r="N31" s="1">
        <v>800</v>
      </c>
      <c r="O31" s="1">
        <v>1200</v>
      </c>
      <c r="P31" s="1">
        <v>2100</v>
      </c>
      <c r="Q31" s="1">
        <v>1300</v>
      </c>
      <c r="R31" s="1">
        <v>2200</v>
      </c>
      <c r="S31" s="1">
        <v>2000</v>
      </c>
      <c r="T31" s="1">
        <v>2100</v>
      </c>
      <c r="U31" s="1">
        <v>1000</v>
      </c>
      <c r="V31" s="1">
        <v>1000</v>
      </c>
      <c r="W31" s="1">
        <v>1200</v>
      </c>
      <c r="X31" s="1">
        <v>1600</v>
      </c>
      <c r="Y31" s="1">
        <v>1600</v>
      </c>
      <c r="Z31" s="1">
        <v>1600</v>
      </c>
      <c r="AA31" s="1">
        <v>1200</v>
      </c>
      <c r="AB31" s="3">
        <f t="shared" si="0"/>
        <v>1916.6666666666667</v>
      </c>
      <c r="AC31" s="1">
        <f t="shared" si="1"/>
        <v>1440.0080515072814</v>
      </c>
      <c r="AD31" s="1">
        <f t="shared" ref="AD31:BA31" si="60">(D31-$AB31)/$AC31</f>
        <v>1.4467511700039954</v>
      </c>
      <c r="AE31" s="1">
        <f t="shared" si="60"/>
        <v>2.1411917316059133</v>
      </c>
      <c r="AF31" s="1">
        <f t="shared" si="60"/>
        <v>3.3911847424893655</v>
      </c>
      <c r="AG31" s="1">
        <f t="shared" si="60"/>
        <v>-0.49768240248137458</v>
      </c>
      <c r="AH31" s="1">
        <f t="shared" si="60"/>
        <v>0.40509032760111874</v>
      </c>
      <c r="AI31" s="1">
        <f t="shared" si="60"/>
        <v>-0.84490268328233353</v>
      </c>
      <c r="AJ31" s="1">
        <f t="shared" si="60"/>
        <v>-0.28935023400079918</v>
      </c>
      <c r="AK31" s="1">
        <f t="shared" si="60"/>
        <v>-0.63657051480175808</v>
      </c>
      <c r="AL31" s="1">
        <f t="shared" si="60"/>
        <v>-0.77545862712214175</v>
      </c>
      <c r="AM31" s="1">
        <f t="shared" si="60"/>
        <v>-0.2199061778406074</v>
      </c>
      <c r="AN31" s="1">
        <f t="shared" si="60"/>
        <v>-0.77545862712214175</v>
      </c>
      <c r="AO31" s="1">
        <f t="shared" si="60"/>
        <v>-0.49768240248137458</v>
      </c>
      <c r="AP31" s="1">
        <f t="shared" si="60"/>
        <v>0.12731410296035156</v>
      </c>
      <c r="AQ31" s="1">
        <f t="shared" si="60"/>
        <v>-0.42823834632118274</v>
      </c>
      <c r="AR31" s="1">
        <f t="shared" si="60"/>
        <v>0.19675815912054334</v>
      </c>
      <c r="AS31" s="1">
        <f t="shared" si="60"/>
        <v>5.7870046800159773E-2</v>
      </c>
      <c r="AT31" s="1">
        <f t="shared" si="60"/>
        <v>0.12731410296035156</v>
      </c>
      <c r="AU31" s="1">
        <f t="shared" si="60"/>
        <v>-0.63657051480175808</v>
      </c>
      <c r="AV31" s="1">
        <f t="shared" si="60"/>
        <v>-0.63657051480175808</v>
      </c>
      <c r="AW31" s="1">
        <f t="shared" si="60"/>
        <v>-0.49768240248137458</v>
      </c>
      <c r="AX31" s="1">
        <f t="shared" si="60"/>
        <v>-0.2199061778406074</v>
      </c>
      <c r="AY31" s="1">
        <f t="shared" si="60"/>
        <v>-0.2199061778406074</v>
      </c>
      <c r="AZ31" s="1">
        <f t="shared" si="60"/>
        <v>-0.2199061778406074</v>
      </c>
      <c r="BA31" s="1">
        <f t="shared" si="60"/>
        <v>-0.49768240248137458</v>
      </c>
      <c r="BB31" s="1">
        <f t="shared" ref="BB31:BY31" si="61">IF(AD31&gt;=1,1,0)</f>
        <v>1</v>
      </c>
      <c r="BC31" s="1">
        <f t="shared" si="61"/>
        <v>1</v>
      </c>
      <c r="BD31" s="1">
        <f t="shared" si="61"/>
        <v>1</v>
      </c>
      <c r="BE31" s="1">
        <f t="shared" si="61"/>
        <v>0</v>
      </c>
      <c r="BF31" s="1">
        <f t="shared" si="61"/>
        <v>0</v>
      </c>
      <c r="BG31" s="1">
        <f t="shared" si="61"/>
        <v>0</v>
      </c>
      <c r="BH31" s="1">
        <f t="shared" si="61"/>
        <v>0</v>
      </c>
      <c r="BI31" s="1">
        <f t="shared" si="61"/>
        <v>0</v>
      </c>
      <c r="BJ31" s="1">
        <f t="shared" si="61"/>
        <v>0</v>
      </c>
      <c r="BK31" s="1">
        <f t="shared" si="61"/>
        <v>0</v>
      </c>
      <c r="BL31" s="1">
        <f t="shared" si="61"/>
        <v>0</v>
      </c>
      <c r="BM31" s="1">
        <f t="shared" si="61"/>
        <v>0</v>
      </c>
      <c r="BN31" s="1">
        <f t="shared" si="61"/>
        <v>0</v>
      </c>
      <c r="BO31" s="1">
        <f t="shared" si="61"/>
        <v>0</v>
      </c>
      <c r="BP31" s="1">
        <f t="shared" si="61"/>
        <v>0</v>
      </c>
      <c r="BQ31" s="1">
        <f t="shared" si="61"/>
        <v>0</v>
      </c>
      <c r="BR31" s="1">
        <f t="shared" si="61"/>
        <v>0</v>
      </c>
      <c r="BS31" s="1">
        <f t="shared" si="61"/>
        <v>0</v>
      </c>
      <c r="BT31" s="1">
        <f t="shared" si="61"/>
        <v>0</v>
      </c>
      <c r="BU31" s="1">
        <f t="shared" si="61"/>
        <v>0</v>
      </c>
      <c r="BV31" s="1">
        <f t="shared" si="61"/>
        <v>0</v>
      </c>
      <c r="BW31" s="1">
        <f t="shared" si="61"/>
        <v>0</v>
      </c>
      <c r="BX31" s="1">
        <f t="shared" si="61"/>
        <v>0</v>
      </c>
      <c r="BY31" s="1">
        <f t="shared" si="61"/>
        <v>0</v>
      </c>
    </row>
    <row r="32" spans="1:77" x14ac:dyDescent="0.25">
      <c r="A32" s="1" t="s">
        <v>106</v>
      </c>
      <c r="B32" s="1" t="s">
        <v>69</v>
      </c>
      <c r="C32" s="1" t="s">
        <v>70</v>
      </c>
      <c r="D32" s="1">
        <v>8500</v>
      </c>
      <c r="E32" s="1">
        <v>13400</v>
      </c>
      <c r="F32" s="1">
        <v>11000</v>
      </c>
      <c r="G32" s="1">
        <v>9800</v>
      </c>
      <c r="H32" s="1">
        <v>10500</v>
      </c>
      <c r="I32" s="1">
        <v>12700</v>
      </c>
      <c r="J32" s="1">
        <v>12300</v>
      </c>
      <c r="K32" s="1">
        <v>18600</v>
      </c>
      <c r="L32" s="1">
        <v>10000</v>
      </c>
      <c r="M32" s="1">
        <v>15700</v>
      </c>
      <c r="N32" s="1">
        <v>12000</v>
      </c>
      <c r="O32" s="1">
        <v>8900</v>
      </c>
      <c r="P32" s="1">
        <v>12800</v>
      </c>
      <c r="Q32" s="1">
        <v>14500</v>
      </c>
      <c r="R32" s="1">
        <v>12700</v>
      </c>
      <c r="S32" s="1">
        <v>13600</v>
      </c>
      <c r="T32" s="1">
        <v>11300</v>
      </c>
      <c r="U32" s="1">
        <v>17700</v>
      </c>
      <c r="V32" s="1">
        <v>23100</v>
      </c>
      <c r="W32" s="1">
        <v>12600</v>
      </c>
      <c r="X32" s="1">
        <v>13300</v>
      </c>
      <c r="Y32" s="1">
        <v>19400</v>
      </c>
      <c r="Z32" s="1">
        <v>15100</v>
      </c>
      <c r="AA32" s="1">
        <v>16900</v>
      </c>
      <c r="AB32" s="3">
        <f t="shared" si="0"/>
        <v>13600</v>
      </c>
      <c r="AC32" s="1">
        <f t="shared" si="1"/>
        <v>3543.8863461999749</v>
      </c>
      <c r="AD32" s="1">
        <f t="shared" ref="AD32:BA32" si="62">(D32-$AB32)/$AC32</f>
        <v>-1.4390980696851661</v>
      </c>
      <c r="AE32" s="1">
        <f t="shared" si="62"/>
        <v>-5.6435218419026122E-2</v>
      </c>
      <c r="AF32" s="1">
        <f t="shared" si="62"/>
        <v>-0.73365783944733953</v>
      </c>
      <c r="AG32" s="1">
        <f t="shared" si="62"/>
        <v>-1.0722691499614962</v>
      </c>
      <c r="AH32" s="1">
        <f t="shared" si="62"/>
        <v>-0.87474588549490484</v>
      </c>
      <c r="AI32" s="1">
        <f t="shared" si="62"/>
        <v>-0.25395848288561756</v>
      </c>
      <c r="AJ32" s="1">
        <f t="shared" si="62"/>
        <v>-0.36682891972366977</v>
      </c>
      <c r="AK32" s="1">
        <f t="shared" si="62"/>
        <v>1.4108804604756531</v>
      </c>
      <c r="AL32" s="1">
        <f t="shared" si="62"/>
        <v>-1.0158339315424703</v>
      </c>
      <c r="AM32" s="1">
        <f t="shared" si="62"/>
        <v>0.59256979339977423</v>
      </c>
      <c r="AN32" s="1">
        <f t="shared" si="62"/>
        <v>-0.45148174735220897</v>
      </c>
      <c r="AO32" s="1">
        <f t="shared" si="62"/>
        <v>-1.3262276328471139</v>
      </c>
      <c r="AP32" s="1">
        <f t="shared" si="62"/>
        <v>-0.22574087367610449</v>
      </c>
      <c r="AQ32" s="1">
        <f t="shared" si="62"/>
        <v>0.25395848288561756</v>
      </c>
      <c r="AR32" s="1">
        <f t="shared" si="62"/>
        <v>-0.25395848288561756</v>
      </c>
      <c r="AS32" s="1">
        <f t="shared" si="62"/>
        <v>0</v>
      </c>
      <c r="AT32" s="1">
        <f t="shared" si="62"/>
        <v>-0.64900501181880033</v>
      </c>
      <c r="AU32" s="1">
        <f t="shared" si="62"/>
        <v>1.1569219775900355</v>
      </c>
      <c r="AV32" s="1">
        <f t="shared" si="62"/>
        <v>2.6806728749037405</v>
      </c>
      <c r="AW32" s="1">
        <f t="shared" si="62"/>
        <v>-0.28217609209513062</v>
      </c>
      <c r="AX32" s="1">
        <f t="shared" si="62"/>
        <v>-8.4652827628539179E-2</v>
      </c>
      <c r="AY32" s="1">
        <f t="shared" si="62"/>
        <v>1.6366213341517575</v>
      </c>
      <c r="AZ32" s="1">
        <f t="shared" si="62"/>
        <v>0.42326413814269592</v>
      </c>
      <c r="BA32" s="1">
        <f t="shared" si="62"/>
        <v>0.93118110391393094</v>
      </c>
      <c r="BB32" s="1">
        <f t="shared" ref="BB32:BY32" si="63">IF(AD32&gt;=1,1,0)</f>
        <v>0</v>
      </c>
      <c r="BC32" s="1">
        <f t="shared" si="63"/>
        <v>0</v>
      </c>
      <c r="BD32" s="1">
        <f t="shared" si="63"/>
        <v>0</v>
      </c>
      <c r="BE32" s="1">
        <f t="shared" si="63"/>
        <v>0</v>
      </c>
      <c r="BF32" s="1">
        <f t="shared" si="63"/>
        <v>0</v>
      </c>
      <c r="BG32" s="1">
        <f t="shared" si="63"/>
        <v>0</v>
      </c>
      <c r="BH32" s="1">
        <f t="shared" si="63"/>
        <v>0</v>
      </c>
      <c r="BI32" s="1">
        <f t="shared" si="63"/>
        <v>1</v>
      </c>
      <c r="BJ32" s="1">
        <f t="shared" si="63"/>
        <v>0</v>
      </c>
      <c r="BK32" s="1">
        <f t="shared" si="63"/>
        <v>0</v>
      </c>
      <c r="BL32" s="1">
        <f t="shared" si="63"/>
        <v>0</v>
      </c>
      <c r="BM32" s="1">
        <f t="shared" si="63"/>
        <v>0</v>
      </c>
      <c r="BN32" s="1">
        <f t="shared" si="63"/>
        <v>0</v>
      </c>
      <c r="BO32" s="1">
        <f t="shared" si="63"/>
        <v>0</v>
      </c>
      <c r="BP32" s="1">
        <f t="shared" si="63"/>
        <v>0</v>
      </c>
      <c r="BQ32" s="1">
        <f t="shared" si="63"/>
        <v>0</v>
      </c>
      <c r="BR32" s="1">
        <f t="shared" si="63"/>
        <v>0</v>
      </c>
      <c r="BS32" s="1">
        <f t="shared" si="63"/>
        <v>1</v>
      </c>
      <c r="BT32" s="1">
        <f t="shared" si="63"/>
        <v>1</v>
      </c>
      <c r="BU32" s="1">
        <f t="shared" si="63"/>
        <v>0</v>
      </c>
      <c r="BV32" s="1">
        <f t="shared" si="63"/>
        <v>0</v>
      </c>
      <c r="BW32" s="1">
        <f t="shared" si="63"/>
        <v>1</v>
      </c>
      <c r="BX32" s="1">
        <f t="shared" si="63"/>
        <v>0</v>
      </c>
      <c r="BY32" s="1">
        <f t="shared" si="63"/>
        <v>0</v>
      </c>
    </row>
    <row r="33" spans="1:77" x14ac:dyDescent="0.25">
      <c r="A33" s="1" t="s">
        <v>107</v>
      </c>
      <c r="B33" s="1" t="s">
        <v>108</v>
      </c>
      <c r="C33" s="1" t="s">
        <v>109</v>
      </c>
      <c r="D33" s="1">
        <v>35400</v>
      </c>
      <c r="E33" s="1">
        <v>49300</v>
      </c>
      <c r="F33" s="1">
        <v>58200</v>
      </c>
      <c r="G33" s="1">
        <v>68400</v>
      </c>
      <c r="H33" s="1">
        <v>142200</v>
      </c>
      <c r="I33" s="1">
        <v>61000</v>
      </c>
      <c r="J33" s="1">
        <v>54600</v>
      </c>
      <c r="K33" s="1">
        <v>45800</v>
      </c>
      <c r="L33" s="1">
        <v>35900</v>
      </c>
      <c r="M33" s="1">
        <v>91700</v>
      </c>
      <c r="N33" s="1">
        <v>104000</v>
      </c>
      <c r="O33" s="1">
        <v>44600</v>
      </c>
      <c r="P33" s="1">
        <v>29100</v>
      </c>
      <c r="Q33" s="1">
        <v>23000</v>
      </c>
      <c r="R33" s="1">
        <v>31200</v>
      </c>
      <c r="S33" s="1">
        <v>41800</v>
      </c>
      <c r="T33" s="1">
        <v>31400</v>
      </c>
      <c r="U33" s="1">
        <v>33900</v>
      </c>
      <c r="V33" s="1">
        <v>67300</v>
      </c>
      <c r="W33" s="1">
        <v>40500</v>
      </c>
      <c r="X33" s="1">
        <v>38200</v>
      </c>
      <c r="Y33" s="1">
        <v>38100</v>
      </c>
      <c r="Z33" s="1">
        <v>36700</v>
      </c>
      <c r="AA33" s="1">
        <v>38700</v>
      </c>
      <c r="AB33" s="3">
        <f t="shared" si="0"/>
        <v>51708.333333333336</v>
      </c>
      <c r="AC33" s="1">
        <f t="shared" si="1"/>
        <v>27393.698365589989</v>
      </c>
      <c r="AD33" s="1">
        <f t="shared" ref="AD33:BA33" si="64">(D33-$AB33)/$AC33</f>
        <v>-0.59533156551868516</v>
      </c>
      <c r="AE33" s="1">
        <f t="shared" si="64"/>
        <v>-8.791559654312732E-2</v>
      </c>
      <c r="AF33" s="1">
        <f t="shared" si="64"/>
        <v>0.23697664258510756</v>
      </c>
      <c r="AG33" s="1">
        <f t="shared" si="64"/>
        <v>0.60932505147364646</v>
      </c>
      <c r="AH33" s="1">
        <f t="shared" si="64"/>
        <v>3.303375304020133</v>
      </c>
      <c r="AI33" s="1">
        <f t="shared" si="64"/>
        <v>0.33918993129960845</v>
      </c>
      <c r="AJ33" s="1">
        <f t="shared" si="64"/>
        <v>0.10555955709503503</v>
      </c>
      <c r="AK33" s="1">
        <f t="shared" si="64"/>
        <v>-0.21568220743625341</v>
      </c>
      <c r="AL33" s="1">
        <f t="shared" si="64"/>
        <v>-0.5770791925339529</v>
      </c>
      <c r="AM33" s="1">
        <f t="shared" si="64"/>
        <v>1.4598856325621714</v>
      </c>
      <c r="AN33" s="1">
        <f t="shared" si="64"/>
        <v>1.9088940079865859</v>
      </c>
      <c r="AO33" s="1">
        <f t="shared" si="64"/>
        <v>-0.25948790259961091</v>
      </c>
      <c r="AP33" s="1">
        <f t="shared" si="64"/>
        <v>-0.82531146512631215</v>
      </c>
      <c r="AQ33" s="1">
        <f t="shared" si="64"/>
        <v>-1.0479904155400461</v>
      </c>
      <c r="AR33" s="1">
        <f t="shared" si="64"/>
        <v>-0.74865149859043645</v>
      </c>
      <c r="AS33" s="1">
        <f t="shared" si="64"/>
        <v>-0.36170119131411177</v>
      </c>
      <c r="AT33" s="1">
        <f t="shared" si="64"/>
        <v>-0.74135054939654355</v>
      </c>
      <c r="AU33" s="1">
        <f t="shared" si="64"/>
        <v>-0.65008868447288204</v>
      </c>
      <c r="AV33" s="1">
        <f t="shared" si="64"/>
        <v>0.56916983090723539</v>
      </c>
      <c r="AW33" s="1">
        <f t="shared" si="64"/>
        <v>-0.40915736107441575</v>
      </c>
      <c r="AX33" s="1">
        <f t="shared" si="64"/>
        <v>-0.4931182768041843</v>
      </c>
      <c r="AY33" s="1">
        <f t="shared" si="64"/>
        <v>-0.49676875140113075</v>
      </c>
      <c r="AZ33" s="1">
        <f t="shared" si="64"/>
        <v>-0.54787539575838118</v>
      </c>
      <c r="BA33" s="1">
        <f t="shared" si="64"/>
        <v>-0.47486590381945204</v>
      </c>
      <c r="BB33" s="1">
        <f t="shared" ref="BB33:BY33" si="65">IF(AD33&gt;=1,1,0)</f>
        <v>0</v>
      </c>
      <c r="BC33" s="1">
        <f t="shared" si="65"/>
        <v>0</v>
      </c>
      <c r="BD33" s="1">
        <f t="shared" si="65"/>
        <v>0</v>
      </c>
      <c r="BE33" s="1">
        <f t="shared" si="65"/>
        <v>0</v>
      </c>
      <c r="BF33" s="1">
        <f t="shared" si="65"/>
        <v>1</v>
      </c>
      <c r="BG33" s="1">
        <f t="shared" si="65"/>
        <v>0</v>
      </c>
      <c r="BH33" s="1">
        <f t="shared" si="65"/>
        <v>0</v>
      </c>
      <c r="BI33" s="1">
        <f t="shared" si="65"/>
        <v>0</v>
      </c>
      <c r="BJ33" s="1">
        <f t="shared" si="65"/>
        <v>0</v>
      </c>
      <c r="BK33" s="1">
        <f t="shared" si="65"/>
        <v>1</v>
      </c>
      <c r="BL33" s="1">
        <f t="shared" si="65"/>
        <v>1</v>
      </c>
      <c r="BM33" s="1">
        <f t="shared" si="65"/>
        <v>0</v>
      </c>
      <c r="BN33" s="1">
        <f t="shared" si="65"/>
        <v>0</v>
      </c>
      <c r="BO33" s="1">
        <f t="shared" si="65"/>
        <v>0</v>
      </c>
      <c r="BP33" s="1">
        <f t="shared" si="65"/>
        <v>0</v>
      </c>
      <c r="BQ33" s="1">
        <f t="shared" si="65"/>
        <v>0</v>
      </c>
      <c r="BR33" s="1">
        <f t="shared" si="65"/>
        <v>0</v>
      </c>
      <c r="BS33" s="1">
        <f t="shared" si="65"/>
        <v>0</v>
      </c>
      <c r="BT33" s="1">
        <f t="shared" si="65"/>
        <v>0</v>
      </c>
      <c r="BU33" s="1">
        <f t="shared" si="65"/>
        <v>0</v>
      </c>
      <c r="BV33" s="1">
        <f t="shared" si="65"/>
        <v>0</v>
      </c>
      <c r="BW33" s="1">
        <f t="shared" si="65"/>
        <v>0</v>
      </c>
      <c r="BX33" s="1">
        <f t="shared" si="65"/>
        <v>0</v>
      </c>
      <c r="BY33" s="1">
        <f t="shared" si="65"/>
        <v>0</v>
      </c>
    </row>
    <row r="34" spans="1:77" x14ac:dyDescent="0.25">
      <c r="A34" s="1" t="s">
        <v>110</v>
      </c>
      <c r="B34" s="1" t="s">
        <v>108</v>
      </c>
      <c r="C34" s="1" t="s">
        <v>111</v>
      </c>
      <c r="D34" s="1">
        <v>121700</v>
      </c>
      <c r="E34" s="1">
        <v>136500</v>
      </c>
      <c r="F34" s="1">
        <v>75700</v>
      </c>
      <c r="G34" s="1">
        <v>66600</v>
      </c>
      <c r="H34" s="1">
        <v>79200</v>
      </c>
      <c r="I34" s="1">
        <v>73400</v>
      </c>
      <c r="J34" s="1">
        <v>85700</v>
      </c>
      <c r="K34" s="1">
        <v>102500</v>
      </c>
      <c r="L34" s="1">
        <v>81500</v>
      </c>
      <c r="M34" s="1">
        <v>114400</v>
      </c>
      <c r="N34" s="1">
        <v>94800</v>
      </c>
      <c r="O34" s="1">
        <v>91600</v>
      </c>
      <c r="P34" s="1">
        <v>97500</v>
      </c>
      <c r="Q34" s="1">
        <v>79900</v>
      </c>
      <c r="R34" s="1">
        <v>90800</v>
      </c>
      <c r="S34" s="1">
        <v>116100</v>
      </c>
      <c r="T34" s="1">
        <v>145200</v>
      </c>
      <c r="U34" s="1">
        <v>134800</v>
      </c>
      <c r="V34" s="1">
        <v>132500</v>
      </c>
      <c r="W34" s="1">
        <v>127400</v>
      </c>
      <c r="X34" s="1">
        <v>121600</v>
      </c>
      <c r="Y34" s="1">
        <v>149200</v>
      </c>
      <c r="Z34" s="1">
        <v>129900</v>
      </c>
      <c r="AA34" s="1">
        <v>117900</v>
      </c>
      <c r="AB34" s="3">
        <f t="shared" si="0"/>
        <v>106933.33333333333</v>
      </c>
      <c r="AC34" s="1">
        <f t="shared" si="1"/>
        <v>24908.923958164545</v>
      </c>
      <c r="AD34" s="1">
        <f t="shared" ref="AD34:BA34" si="66">(D34-$AB34)/$AC34</f>
        <v>0.59282635779320825</v>
      </c>
      <c r="AE34" s="1">
        <f t="shared" si="66"/>
        <v>1.1869909240690195</v>
      </c>
      <c r="AF34" s="1">
        <f t="shared" si="66"/>
        <v>-1.2539013481991781</v>
      </c>
      <c r="AG34" s="1">
        <f t="shared" si="66"/>
        <v>-1.6192322639498458</v>
      </c>
      <c r="AH34" s="1">
        <f t="shared" si="66"/>
        <v>-1.1133894575258443</v>
      </c>
      <c r="AI34" s="1">
        <f t="shared" si="66"/>
        <v>-1.3462377334987974</v>
      </c>
      <c r="AJ34" s="1">
        <f t="shared" si="66"/>
        <v>-0.85243880341822442</v>
      </c>
      <c r="AK34" s="1">
        <f t="shared" si="66"/>
        <v>-0.17798172818622254</v>
      </c>
      <c r="AL34" s="1">
        <f t="shared" si="66"/>
        <v>-1.021053072226225</v>
      </c>
      <c r="AM34" s="1">
        <f t="shared" si="66"/>
        <v>0.29975870010311217</v>
      </c>
      <c r="AN34" s="1">
        <f t="shared" si="66"/>
        <v>-0.48710788766755675</v>
      </c>
      <c r="AO34" s="1">
        <f t="shared" si="66"/>
        <v>-0.61557590199746193</v>
      </c>
      <c r="AP34" s="1">
        <f t="shared" si="66"/>
        <v>-0.37871300057669932</v>
      </c>
      <c r="AQ34" s="1">
        <f t="shared" si="66"/>
        <v>-1.0852870793911775</v>
      </c>
      <c r="AR34" s="1">
        <f t="shared" si="66"/>
        <v>-0.64769290557993819</v>
      </c>
      <c r="AS34" s="1">
        <f t="shared" si="66"/>
        <v>0.36800733271587427</v>
      </c>
      <c r="AT34" s="1">
        <f t="shared" si="66"/>
        <v>1.5362633380284489</v>
      </c>
      <c r="AU34" s="1">
        <f t="shared" si="66"/>
        <v>1.1187422914562575</v>
      </c>
      <c r="AV34" s="1">
        <f t="shared" si="66"/>
        <v>1.026405906156638</v>
      </c>
      <c r="AW34" s="1">
        <f t="shared" si="66"/>
        <v>0.82166000831835173</v>
      </c>
      <c r="AX34" s="1">
        <f t="shared" si="66"/>
        <v>0.58881173234539874</v>
      </c>
      <c r="AY34" s="1">
        <f t="shared" si="66"/>
        <v>1.6968483559408305</v>
      </c>
      <c r="AZ34" s="1">
        <f t="shared" si="66"/>
        <v>0.92202564451359015</v>
      </c>
      <c r="BA34" s="1">
        <f t="shared" si="66"/>
        <v>0.44027059077644592</v>
      </c>
      <c r="BB34" s="1">
        <f t="shared" ref="BB34:BY34" si="67">IF(AD34&gt;=1,1,0)</f>
        <v>0</v>
      </c>
      <c r="BC34" s="1">
        <f t="shared" si="67"/>
        <v>1</v>
      </c>
      <c r="BD34" s="1">
        <f t="shared" si="67"/>
        <v>0</v>
      </c>
      <c r="BE34" s="1">
        <f t="shared" si="67"/>
        <v>0</v>
      </c>
      <c r="BF34" s="1">
        <f t="shared" si="67"/>
        <v>0</v>
      </c>
      <c r="BG34" s="1">
        <f t="shared" si="67"/>
        <v>0</v>
      </c>
      <c r="BH34" s="1">
        <f t="shared" si="67"/>
        <v>0</v>
      </c>
      <c r="BI34" s="1">
        <f t="shared" si="67"/>
        <v>0</v>
      </c>
      <c r="BJ34" s="1">
        <f t="shared" si="67"/>
        <v>0</v>
      </c>
      <c r="BK34" s="1">
        <f t="shared" si="67"/>
        <v>0</v>
      </c>
      <c r="BL34" s="1">
        <f t="shared" si="67"/>
        <v>0</v>
      </c>
      <c r="BM34" s="1">
        <f t="shared" si="67"/>
        <v>0</v>
      </c>
      <c r="BN34" s="1">
        <f t="shared" si="67"/>
        <v>0</v>
      </c>
      <c r="BO34" s="1">
        <f t="shared" si="67"/>
        <v>0</v>
      </c>
      <c r="BP34" s="1">
        <f t="shared" si="67"/>
        <v>0</v>
      </c>
      <c r="BQ34" s="1">
        <f t="shared" si="67"/>
        <v>0</v>
      </c>
      <c r="BR34" s="1">
        <f t="shared" si="67"/>
        <v>1</v>
      </c>
      <c r="BS34" s="1">
        <f t="shared" si="67"/>
        <v>1</v>
      </c>
      <c r="BT34" s="1">
        <f t="shared" si="67"/>
        <v>1</v>
      </c>
      <c r="BU34" s="1">
        <f t="shared" si="67"/>
        <v>0</v>
      </c>
      <c r="BV34" s="1">
        <f t="shared" si="67"/>
        <v>0</v>
      </c>
      <c r="BW34" s="1">
        <f t="shared" si="67"/>
        <v>1</v>
      </c>
      <c r="BX34" s="1">
        <f t="shared" si="67"/>
        <v>0</v>
      </c>
      <c r="BY34" s="1">
        <f t="shared" si="67"/>
        <v>0</v>
      </c>
    </row>
    <row r="35" spans="1:77" x14ac:dyDescent="0.25">
      <c r="A35" s="1" t="s">
        <v>112</v>
      </c>
      <c r="B35" s="1" t="s">
        <v>75</v>
      </c>
      <c r="C35" s="1" t="s">
        <v>76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400</v>
      </c>
      <c r="K35" s="1">
        <v>300</v>
      </c>
      <c r="L35" s="1">
        <v>400</v>
      </c>
      <c r="M35" s="1">
        <v>300</v>
      </c>
      <c r="N35" s="1">
        <v>0</v>
      </c>
      <c r="O35" s="1">
        <v>0</v>
      </c>
      <c r="P35" s="1">
        <v>400</v>
      </c>
      <c r="Q35" s="1">
        <v>200</v>
      </c>
      <c r="R35" s="1">
        <v>300</v>
      </c>
      <c r="S35" s="1">
        <v>300</v>
      </c>
      <c r="T35" s="1">
        <v>100</v>
      </c>
      <c r="U35" s="1">
        <v>200</v>
      </c>
      <c r="V35" s="1">
        <v>200</v>
      </c>
      <c r="W35" s="1">
        <v>300</v>
      </c>
      <c r="X35" s="1">
        <v>100</v>
      </c>
      <c r="Y35" s="1">
        <v>100</v>
      </c>
      <c r="Z35" s="1">
        <v>200</v>
      </c>
      <c r="AA35" s="1">
        <v>200</v>
      </c>
      <c r="AB35" s="3">
        <f t="shared" si="0"/>
        <v>166.66666666666666</v>
      </c>
      <c r="AC35" s="1">
        <f t="shared" si="1"/>
        <v>146.45571126562066</v>
      </c>
      <c r="AD35" s="1">
        <f t="shared" ref="AD35:BA35" si="68">(D35-$AB35)/$AC35</f>
        <v>-1.1380004591585384</v>
      </c>
      <c r="AE35" s="1">
        <f t="shared" si="68"/>
        <v>-1.1380004591585384</v>
      </c>
      <c r="AF35" s="1">
        <f t="shared" si="68"/>
        <v>-1.1380004591585384</v>
      </c>
      <c r="AG35" s="1">
        <f t="shared" si="68"/>
        <v>-1.1380004591585384</v>
      </c>
      <c r="AH35" s="1">
        <f t="shared" si="68"/>
        <v>-1.1380004591585384</v>
      </c>
      <c r="AI35" s="1">
        <f t="shared" si="68"/>
        <v>-1.1380004591585384</v>
      </c>
      <c r="AJ35" s="1">
        <f t="shared" si="68"/>
        <v>1.5932006428219541</v>
      </c>
      <c r="AK35" s="1">
        <f t="shared" si="68"/>
        <v>0.91040036732683094</v>
      </c>
      <c r="AL35" s="1">
        <f t="shared" si="68"/>
        <v>1.5932006428219541</v>
      </c>
      <c r="AM35" s="1">
        <f t="shared" si="68"/>
        <v>0.91040036732683094</v>
      </c>
      <c r="AN35" s="1">
        <f t="shared" si="68"/>
        <v>-1.1380004591585384</v>
      </c>
      <c r="AO35" s="1">
        <f t="shared" si="68"/>
        <v>-1.1380004591585384</v>
      </c>
      <c r="AP35" s="1">
        <f t="shared" si="68"/>
        <v>1.5932006428219541</v>
      </c>
      <c r="AQ35" s="1">
        <f t="shared" si="68"/>
        <v>0.22760009183170779</v>
      </c>
      <c r="AR35" s="1">
        <f t="shared" si="68"/>
        <v>0.91040036732683094</v>
      </c>
      <c r="AS35" s="1">
        <f t="shared" si="68"/>
        <v>0.91040036732683094</v>
      </c>
      <c r="AT35" s="1">
        <f t="shared" si="68"/>
        <v>-0.45520018366341536</v>
      </c>
      <c r="AU35" s="1">
        <f t="shared" si="68"/>
        <v>0.22760009183170779</v>
      </c>
      <c r="AV35" s="1">
        <f t="shared" si="68"/>
        <v>0.22760009183170779</v>
      </c>
      <c r="AW35" s="1">
        <f t="shared" si="68"/>
        <v>0.91040036732683094</v>
      </c>
      <c r="AX35" s="1">
        <f t="shared" si="68"/>
        <v>-0.45520018366341536</v>
      </c>
      <c r="AY35" s="1">
        <f t="shared" si="68"/>
        <v>-0.45520018366341536</v>
      </c>
      <c r="AZ35" s="1">
        <f t="shared" si="68"/>
        <v>0.22760009183170779</v>
      </c>
      <c r="BA35" s="1">
        <f t="shared" si="68"/>
        <v>0.22760009183170779</v>
      </c>
      <c r="BB35" s="1">
        <f t="shared" ref="BB35:BY35" si="69">IF(AD35&gt;=1,1,0)</f>
        <v>0</v>
      </c>
      <c r="BC35" s="1">
        <f t="shared" si="69"/>
        <v>0</v>
      </c>
      <c r="BD35" s="1">
        <f t="shared" si="69"/>
        <v>0</v>
      </c>
      <c r="BE35" s="1">
        <f t="shared" si="69"/>
        <v>0</v>
      </c>
      <c r="BF35" s="1">
        <f t="shared" si="69"/>
        <v>0</v>
      </c>
      <c r="BG35" s="1">
        <f t="shared" si="69"/>
        <v>0</v>
      </c>
      <c r="BH35" s="1">
        <f t="shared" si="69"/>
        <v>1</v>
      </c>
      <c r="BI35" s="1">
        <f t="shared" si="69"/>
        <v>0</v>
      </c>
      <c r="BJ35" s="1">
        <f t="shared" si="69"/>
        <v>1</v>
      </c>
      <c r="BK35" s="1">
        <f t="shared" si="69"/>
        <v>0</v>
      </c>
      <c r="BL35" s="1">
        <f t="shared" si="69"/>
        <v>0</v>
      </c>
      <c r="BM35" s="1">
        <f t="shared" si="69"/>
        <v>0</v>
      </c>
      <c r="BN35" s="1">
        <f t="shared" si="69"/>
        <v>1</v>
      </c>
      <c r="BO35" s="1">
        <f t="shared" si="69"/>
        <v>0</v>
      </c>
      <c r="BP35" s="1">
        <f t="shared" si="69"/>
        <v>0</v>
      </c>
      <c r="BQ35" s="1">
        <f t="shared" si="69"/>
        <v>0</v>
      </c>
      <c r="BR35" s="1">
        <f t="shared" si="69"/>
        <v>0</v>
      </c>
      <c r="BS35" s="1">
        <f t="shared" si="69"/>
        <v>0</v>
      </c>
      <c r="BT35" s="1">
        <f t="shared" si="69"/>
        <v>0</v>
      </c>
      <c r="BU35" s="1">
        <f t="shared" si="69"/>
        <v>0</v>
      </c>
      <c r="BV35" s="1">
        <f t="shared" si="69"/>
        <v>0</v>
      </c>
      <c r="BW35" s="1">
        <f t="shared" si="69"/>
        <v>0</v>
      </c>
      <c r="BX35" s="1">
        <f t="shared" si="69"/>
        <v>0</v>
      </c>
      <c r="BY35" s="1">
        <f t="shared" si="69"/>
        <v>0</v>
      </c>
    </row>
    <row r="36" spans="1:77" x14ac:dyDescent="0.25">
      <c r="A36" s="1" t="s">
        <v>113</v>
      </c>
      <c r="B36" s="1" t="s">
        <v>69</v>
      </c>
      <c r="C36" s="1" t="s">
        <v>114</v>
      </c>
      <c r="D36" s="1">
        <v>100</v>
      </c>
      <c r="E36" s="1">
        <v>200</v>
      </c>
      <c r="F36" s="1">
        <v>400</v>
      </c>
      <c r="G36" s="1">
        <v>100</v>
      </c>
      <c r="H36" s="1">
        <v>100</v>
      </c>
      <c r="I36" s="1">
        <v>0</v>
      </c>
      <c r="J36" s="1">
        <v>200</v>
      </c>
      <c r="K36" s="1">
        <v>0</v>
      </c>
      <c r="L36" s="1">
        <v>100</v>
      </c>
      <c r="M36" s="1">
        <v>0</v>
      </c>
      <c r="N36" s="1">
        <v>0</v>
      </c>
      <c r="O36" s="1">
        <v>100</v>
      </c>
      <c r="P36" s="1">
        <v>200</v>
      </c>
      <c r="Q36" s="1">
        <v>300</v>
      </c>
      <c r="R36" s="1">
        <v>800</v>
      </c>
      <c r="S36" s="1">
        <v>600</v>
      </c>
      <c r="T36" s="1">
        <v>500</v>
      </c>
      <c r="U36" s="1">
        <v>100</v>
      </c>
      <c r="V36" s="1">
        <v>100</v>
      </c>
      <c r="W36" s="1">
        <v>0</v>
      </c>
      <c r="X36" s="1">
        <v>0</v>
      </c>
      <c r="Y36" s="1">
        <v>0</v>
      </c>
      <c r="Z36" s="1">
        <v>0</v>
      </c>
      <c r="AA36" s="1">
        <v>300</v>
      </c>
      <c r="AB36" s="3">
        <f t="shared" si="0"/>
        <v>175</v>
      </c>
      <c r="AC36" s="1">
        <f t="shared" si="1"/>
        <v>213.15436333487443</v>
      </c>
      <c r="AD36" s="1">
        <f t="shared" ref="AD36:BA36" si="70">(D36-$AB36)/$AC36</f>
        <v>-0.35185768110302229</v>
      </c>
      <c r="AE36" s="1">
        <f t="shared" si="70"/>
        <v>0.11728589370100743</v>
      </c>
      <c r="AF36" s="1">
        <f t="shared" si="70"/>
        <v>1.0555730433090669</v>
      </c>
      <c r="AG36" s="1">
        <f t="shared" si="70"/>
        <v>-0.35185768110302229</v>
      </c>
      <c r="AH36" s="1">
        <f t="shared" si="70"/>
        <v>-0.35185768110302229</v>
      </c>
      <c r="AI36" s="1">
        <f t="shared" si="70"/>
        <v>-0.82100125590705209</v>
      </c>
      <c r="AJ36" s="1">
        <f t="shared" si="70"/>
        <v>0.11728589370100743</v>
      </c>
      <c r="AK36" s="1">
        <f t="shared" si="70"/>
        <v>-0.82100125590705209</v>
      </c>
      <c r="AL36" s="1">
        <f t="shared" si="70"/>
        <v>-0.35185768110302229</v>
      </c>
      <c r="AM36" s="1">
        <f t="shared" si="70"/>
        <v>-0.82100125590705209</v>
      </c>
      <c r="AN36" s="1">
        <f t="shared" si="70"/>
        <v>-0.82100125590705209</v>
      </c>
      <c r="AO36" s="1">
        <f t="shared" si="70"/>
        <v>-0.35185768110302229</v>
      </c>
      <c r="AP36" s="1">
        <f t="shared" si="70"/>
        <v>0.11728589370100743</v>
      </c>
      <c r="AQ36" s="1">
        <f t="shared" si="70"/>
        <v>0.58642946850503719</v>
      </c>
      <c r="AR36" s="1">
        <f t="shared" si="70"/>
        <v>2.9321473425251861</v>
      </c>
      <c r="AS36" s="1">
        <f t="shared" si="70"/>
        <v>1.9938601929171265</v>
      </c>
      <c r="AT36" s="1">
        <f t="shared" si="70"/>
        <v>1.5247166181130967</v>
      </c>
      <c r="AU36" s="1">
        <f t="shared" si="70"/>
        <v>-0.35185768110302229</v>
      </c>
      <c r="AV36" s="1">
        <f t="shared" si="70"/>
        <v>-0.35185768110302229</v>
      </c>
      <c r="AW36" s="1">
        <f t="shared" si="70"/>
        <v>-0.82100125590705209</v>
      </c>
      <c r="AX36" s="1">
        <f t="shared" si="70"/>
        <v>-0.82100125590705209</v>
      </c>
      <c r="AY36" s="1">
        <f t="shared" si="70"/>
        <v>-0.82100125590705209</v>
      </c>
      <c r="AZ36" s="1">
        <f t="shared" si="70"/>
        <v>-0.82100125590705209</v>
      </c>
      <c r="BA36" s="1">
        <f t="shared" si="70"/>
        <v>0.58642946850503719</v>
      </c>
      <c r="BB36" s="1">
        <f t="shared" ref="BB36:BY36" si="71">IF(AD36&gt;=1,1,0)</f>
        <v>0</v>
      </c>
      <c r="BC36" s="1">
        <f t="shared" si="71"/>
        <v>0</v>
      </c>
      <c r="BD36" s="1">
        <f t="shared" si="71"/>
        <v>1</v>
      </c>
      <c r="BE36" s="1">
        <f t="shared" si="71"/>
        <v>0</v>
      </c>
      <c r="BF36" s="1">
        <f t="shared" si="71"/>
        <v>0</v>
      </c>
      <c r="BG36" s="1">
        <f t="shared" si="71"/>
        <v>0</v>
      </c>
      <c r="BH36" s="1">
        <f t="shared" si="71"/>
        <v>0</v>
      </c>
      <c r="BI36" s="1">
        <f t="shared" si="71"/>
        <v>0</v>
      </c>
      <c r="BJ36" s="1">
        <f t="shared" si="71"/>
        <v>0</v>
      </c>
      <c r="BK36" s="1">
        <f t="shared" si="71"/>
        <v>0</v>
      </c>
      <c r="BL36" s="1">
        <f t="shared" si="71"/>
        <v>0</v>
      </c>
      <c r="BM36" s="1">
        <f t="shared" si="71"/>
        <v>0</v>
      </c>
      <c r="BN36" s="1">
        <f t="shared" si="71"/>
        <v>0</v>
      </c>
      <c r="BO36" s="1">
        <f t="shared" si="71"/>
        <v>0</v>
      </c>
      <c r="BP36" s="1">
        <f t="shared" si="71"/>
        <v>1</v>
      </c>
      <c r="BQ36" s="1">
        <f t="shared" si="71"/>
        <v>1</v>
      </c>
      <c r="BR36" s="1">
        <f t="shared" si="71"/>
        <v>1</v>
      </c>
      <c r="BS36" s="1">
        <f t="shared" si="71"/>
        <v>0</v>
      </c>
      <c r="BT36" s="1">
        <f t="shared" si="71"/>
        <v>0</v>
      </c>
      <c r="BU36" s="1">
        <f t="shared" si="71"/>
        <v>0</v>
      </c>
      <c r="BV36" s="1">
        <f t="shared" si="71"/>
        <v>0</v>
      </c>
      <c r="BW36" s="1">
        <f t="shared" si="71"/>
        <v>0</v>
      </c>
      <c r="BX36" s="1">
        <f t="shared" si="71"/>
        <v>0</v>
      </c>
      <c r="BY36" s="1">
        <f t="shared" si="71"/>
        <v>0</v>
      </c>
    </row>
    <row r="37" spans="1:77" x14ac:dyDescent="0.25">
      <c r="A37" s="1" t="s">
        <v>115</v>
      </c>
      <c r="B37" s="1" t="s">
        <v>63</v>
      </c>
      <c r="C37" s="1" t="s">
        <v>64</v>
      </c>
      <c r="D37" s="1">
        <v>122100</v>
      </c>
      <c r="E37" s="1">
        <v>205600</v>
      </c>
      <c r="F37" s="1">
        <v>221500</v>
      </c>
      <c r="G37" s="1">
        <v>137000</v>
      </c>
      <c r="H37" s="1">
        <v>167500</v>
      </c>
      <c r="I37" s="1">
        <v>174900</v>
      </c>
      <c r="J37" s="1">
        <v>257600</v>
      </c>
      <c r="K37" s="1">
        <v>318500</v>
      </c>
      <c r="L37" s="1">
        <v>503000</v>
      </c>
      <c r="M37" s="1">
        <v>350900</v>
      </c>
      <c r="N37" s="1">
        <v>212500</v>
      </c>
      <c r="O37" s="1">
        <v>274700</v>
      </c>
      <c r="P37" s="1">
        <v>266600</v>
      </c>
      <c r="Q37" s="1">
        <v>169100</v>
      </c>
      <c r="R37" s="1">
        <v>153900</v>
      </c>
      <c r="S37" s="1">
        <v>226800</v>
      </c>
      <c r="T37" s="1">
        <v>167600</v>
      </c>
      <c r="U37" s="1">
        <v>206400</v>
      </c>
      <c r="V37" s="1">
        <v>257600</v>
      </c>
      <c r="W37" s="1">
        <v>114700</v>
      </c>
      <c r="X37" s="1">
        <v>116000</v>
      </c>
      <c r="Y37" s="1">
        <v>176600</v>
      </c>
      <c r="Z37" s="1">
        <v>143900</v>
      </c>
      <c r="AA37" s="1">
        <v>133600</v>
      </c>
      <c r="AB37" s="3">
        <f t="shared" si="0"/>
        <v>211608.33333333334</v>
      </c>
      <c r="AC37" s="1">
        <f t="shared" si="1"/>
        <v>88891.110313425743</v>
      </c>
      <c r="AD37" s="1">
        <f t="shared" ref="AD37:BA37" si="72">(D37-$AB37)/$AC37</f>
        <v>-1.0069435854466358</v>
      </c>
      <c r="AE37" s="1">
        <f t="shared" si="72"/>
        <v>-6.7592060805048454E-2</v>
      </c>
      <c r="AF37" s="1">
        <f t="shared" si="72"/>
        <v>0.11127846903688254</v>
      </c>
      <c r="AG37" s="1">
        <f t="shared" si="72"/>
        <v>-0.83932277446268788</v>
      </c>
      <c r="AH37" s="1">
        <f t="shared" si="72"/>
        <v>-0.49620634929420387</v>
      </c>
      <c r="AI37" s="1">
        <f t="shared" si="72"/>
        <v>-0.41295842974512909</v>
      </c>
      <c r="AJ37" s="1">
        <f t="shared" si="72"/>
        <v>0.51739331981007175</v>
      </c>
      <c r="AK37" s="1">
        <f t="shared" si="72"/>
        <v>1.2025011982612415</v>
      </c>
      <c r="AL37" s="1">
        <f t="shared" si="72"/>
        <v>3.27807432755912</v>
      </c>
      <c r="AM37" s="1">
        <f t="shared" si="72"/>
        <v>1.5669920892598934</v>
      </c>
      <c r="AN37" s="1">
        <f t="shared" si="72"/>
        <v>1.0030999315034806E-2</v>
      </c>
      <c r="AO37" s="1">
        <f t="shared" si="72"/>
        <v>0.70976351228158252</v>
      </c>
      <c r="AP37" s="1">
        <f t="shared" si="72"/>
        <v>0.61864078953191959</v>
      </c>
      <c r="AQ37" s="1">
        <f t="shared" si="72"/>
        <v>-0.47820679912143094</v>
      </c>
      <c r="AR37" s="1">
        <f t="shared" si="72"/>
        <v>-0.64920252576277382</v>
      </c>
      <c r="AS37" s="1">
        <f t="shared" si="72"/>
        <v>0.17090197898419288</v>
      </c>
      <c r="AT37" s="1">
        <f t="shared" si="72"/>
        <v>-0.49508137740840558</v>
      </c>
      <c r="AU37" s="1">
        <f t="shared" si="72"/>
        <v>-5.8592285718661992E-2</v>
      </c>
      <c r="AV37" s="1">
        <f t="shared" si="72"/>
        <v>0.51739331981007175</v>
      </c>
      <c r="AW37" s="1">
        <f t="shared" si="72"/>
        <v>-1.0901915049957107</v>
      </c>
      <c r="AX37" s="1">
        <f t="shared" si="72"/>
        <v>-1.0755668704803325</v>
      </c>
      <c r="AY37" s="1">
        <f t="shared" si="72"/>
        <v>-0.39383390768655785</v>
      </c>
      <c r="AZ37" s="1">
        <f t="shared" si="72"/>
        <v>-0.76169971434260464</v>
      </c>
      <c r="BA37" s="1">
        <f t="shared" si="72"/>
        <v>-0.87757181857983035</v>
      </c>
      <c r="BB37" s="1">
        <f t="shared" ref="BB37:BY37" si="73">IF(AD37&gt;=1,1,0)</f>
        <v>0</v>
      </c>
      <c r="BC37" s="1">
        <f t="shared" si="73"/>
        <v>0</v>
      </c>
      <c r="BD37" s="1">
        <f t="shared" si="73"/>
        <v>0</v>
      </c>
      <c r="BE37" s="1">
        <f t="shared" si="73"/>
        <v>0</v>
      </c>
      <c r="BF37" s="1">
        <f t="shared" si="73"/>
        <v>0</v>
      </c>
      <c r="BG37" s="1">
        <f t="shared" si="73"/>
        <v>0</v>
      </c>
      <c r="BH37" s="1">
        <f t="shared" si="73"/>
        <v>0</v>
      </c>
      <c r="BI37" s="1">
        <f t="shared" si="73"/>
        <v>1</v>
      </c>
      <c r="BJ37" s="1">
        <f t="shared" si="73"/>
        <v>1</v>
      </c>
      <c r="BK37" s="1">
        <f t="shared" si="73"/>
        <v>1</v>
      </c>
      <c r="BL37" s="1">
        <f t="shared" si="73"/>
        <v>0</v>
      </c>
      <c r="BM37" s="1">
        <f t="shared" si="73"/>
        <v>0</v>
      </c>
      <c r="BN37" s="1">
        <f t="shared" si="73"/>
        <v>0</v>
      </c>
      <c r="BO37" s="1">
        <f t="shared" si="73"/>
        <v>0</v>
      </c>
      <c r="BP37" s="1">
        <f t="shared" si="73"/>
        <v>0</v>
      </c>
      <c r="BQ37" s="1">
        <f t="shared" si="73"/>
        <v>0</v>
      </c>
      <c r="BR37" s="1">
        <f t="shared" si="73"/>
        <v>0</v>
      </c>
      <c r="BS37" s="1">
        <f t="shared" si="73"/>
        <v>0</v>
      </c>
      <c r="BT37" s="1">
        <f t="shared" si="73"/>
        <v>0</v>
      </c>
      <c r="BU37" s="1">
        <f t="shared" si="73"/>
        <v>0</v>
      </c>
      <c r="BV37" s="1">
        <f t="shared" si="73"/>
        <v>0</v>
      </c>
      <c r="BW37" s="1">
        <f t="shared" si="73"/>
        <v>0</v>
      </c>
      <c r="BX37" s="1">
        <f t="shared" si="73"/>
        <v>0</v>
      </c>
      <c r="BY37" s="1">
        <f t="shared" si="73"/>
        <v>0</v>
      </c>
    </row>
    <row r="38" spans="1:77" x14ac:dyDescent="0.25">
      <c r="A38" s="1" t="s">
        <v>116</v>
      </c>
      <c r="B38" s="1" t="s">
        <v>63</v>
      </c>
      <c r="C38" s="1" t="s">
        <v>64</v>
      </c>
      <c r="D38" s="1">
        <v>66900</v>
      </c>
      <c r="E38" s="1">
        <v>92700</v>
      </c>
      <c r="F38" s="1">
        <v>75400</v>
      </c>
      <c r="G38" s="1">
        <v>64400</v>
      </c>
      <c r="H38" s="1">
        <v>101500</v>
      </c>
      <c r="I38" s="1">
        <v>125200</v>
      </c>
      <c r="J38" s="1">
        <v>118500</v>
      </c>
      <c r="K38" s="1">
        <v>127600</v>
      </c>
      <c r="L38" s="1">
        <v>98300</v>
      </c>
      <c r="M38" s="1">
        <v>160800</v>
      </c>
      <c r="N38" s="1">
        <v>129200</v>
      </c>
      <c r="O38" s="1">
        <v>176800</v>
      </c>
      <c r="P38" s="1">
        <v>150200</v>
      </c>
      <c r="Q38" s="1">
        <v>69400</v>
      </c>
      <c r="R38" s="1">
        <v>80400</v>
      </c>
      <c r="S38" s="1">
        <v>87900</v>
      </c>
      <c r="T38" s="1">
        <v>85800</v>
      </c>
      <c r="U38" s="1">
        <v>131500</v>
      </c>
      <c r="V38" s="1">
        <v>116100</v>
      </c>
      <c r="W38" s="1">
        <v>57200</v>
      </c>
      <c r="X38" s="1">
        <v>53300</v>
      </c>
      <c r="Y38" s="1">
        <v>74000</v>
      </c>
      <c r="Z38" s="1">
        <v>53600</v>
      </c>
      <c r="AA38" s="1">
        <v>54300</v>
      </c>
      <c r="AB38" s="3">
        <f t="shared" si="0"/>
        <v>97958.333333333328</v>
      </c>
      <c r="AC38" s="1">
        <f t="shared" si="1"/>
        <v>35803.411504524527</v>
      </c>
      <c r="AD38" s="1">
        <f t="shared" ref="AD38:BA38" si="74">(D38-$AB38)/$AC38</f>
        <v>-0.86746854638163307</v>
      </c>
      <c r="AE38" s="1">
        <f t="shared" si="74"/>
        <v>-0.14686682392455327</v>
      </c>
      <c r="AF38" s="1">
        <f t="shared" si="74"/>
        <v>-0.63006100216127725</v>
      </c>
      <c r="AG38" s="1">
        <f t="shared" si="74"/>
        <v>-0.93729429468173764</v>
      </c>
      <c r="AH38" s="1">
        <f t="shared" si="74"/>
        <v>9.8919810091815025E-2</v>
      </c>
      <c r="AI38" s="1">
        <f t="shared" si="74"/>
        <v>0.76086790397680693</v>
      </c>
      <c r="AJ38" s="1">
        <f t="shared" si="74"/>
        <v>0.57373489853252646</v>
      </c>
      <c r="AK38" s="1">
        <f t="shared" si="74"/>
        <v>0.82790062234490736</v>
      </c>
      <c r="AL38" s="1">
        <f t="shared" si="74"/>
        <v>9.5428522676811022E-3</v>
      </c>
      <c r="AM38" s="1">
        <f t="shared" si="74"/>
        <v>1.7551865597702969</v>
      </c>
      <c r="AN38" s="1">
        <f t="shared" si="74"/>
        <v>0.87258910125697431</v>
      </c>
      <c r="AO38" s="1">
        <f t="shared" si="74"/>
        <v>2.2020713488909665</v>
      </c>
      <c r="AP38" s="1">
        <f t="shared" si="74"/>
        <v>1.4591253869778531</v>
      </c>
      <c r="AQ38" s="1">
        <f t="shared" si="74"/>
        <v>-0.79764279808152838</v>
      </c>
      <c r="AR38" s="1">
        <f t="shared" si="74"/>
        <v>-0.49040950556106805</v>
      </c>
      <c r="AS38" s="1">
        <f t="shared" si="74"/>
        <v>-0.28093226066075416</v>
      </c>
      <c r="AT38" s="1">
        <f t="shared" si="74"/>
        <v>-0.33958588923284205</v>
      </c>
      <c r="AU38" s="1">
        <f t="shared" si="74"/>
        <v>0.9368287896930706</v>
      </c>
      <c r="AV38" s="1">
        <f t="shared" si="74"/>
        <v>0.50670218016442603</v>
      </c>
      <c r="AW38" s="1">
        <f t="shared" si="74"/>
        <v>-1.1383924497860389</v>
      </c>
      <c r="AX38" s="1">
        <f t="shared" si="74"/>
        <v>-1.2473206171342022</v>
      </c>
      <c r="AY38" s="1">
        <f t="shared" si="74"/>
        <v>-0.66916342120933592</v>
      </c>
      <c r="AZ38" s="1">
        <f t="shared" si="74"/>
        <v>-1.2389415273381896</v>
      </c>
      <c r="BA38" s="1">
        <f t="shared" si="74"/>
        <v>-1.2193903178141603</v>
      </c>
      <c r="BB38" s="1">
        <f t="shared" ref="BB38:BY38" si="75">IF(AD38&gt;=1,1,0)</f>
        <v>0</v>
      </c>
      <c r="BC38" s="1">
        <f t="shared" si="75"/>
        <v>0</v>
      </c>
      <c r="BD38" s="1">
        <f t="shared" si="75"/>
        <v>0</v>
      </c>
      <c r="BE38" s="1">
        <f t="shared" si="75"/>
        <v>0</v>
      </c>
      <c r="BF38" s="1">
        <f t="shared" si="75"/>
        <v>0</v>
      </c>
      <c r="BG38" s="1">
        <f t="shared" si="75"/>
        <v>0</v>
      </c>
      <c r="BH38" s="1">
        <f t="shared" si="75"/>
        <v>0</v>
      </c>
      <c r="BI38" s="1">
        <f t="shared" si="75"/>
        <v>0</v>
      </c>
      <c r="BJ38" s="1">
        <f t="shared" si="75"/>
        <v>0</v>
      </c>
      <c r="BK38" s="1">
        <f t="shared" si="75"/>
        <v>1</v>
      </c>
      <c r="BL38" s="1">
        <f t="shared" si="75"/>
        <v>0</v>
      </c>
      <c r="BM38" s="1">
        <f t="shared" si="75"/>
        <v>1</v>
      </c>
      <c r="BN38" s="1">
        <f t="shared" si="75"/>
        <v>1</v>
      </c>
      <c r="BO38" s="1">
        <f t="shared" si="75"/>
        <v>0</v>
      </c>
      <c r="BP38" s="1">
        <f t="shared" si="75"/>
        <v>0</v>
      </c>
      <c r="BQ38" s="1">
        <f t="shared" si="75"/>
        <v>0</v>
      </c>
      <c r="BR38" s="1">
        <f t="shared" si="75"/>
        <v>0</v>
      </c>
      <c r="BS38" s="1">
        <f t="shared" si="75"/>
        <v>0</v>
      </c>
      <c r="BT38" s="1">
        <f t="shared" si="75"/>
        <v>0</v>
      </c>
      <c r="BU38" s="1">
        <f t="shared" si="75"/>
        <v>0</v>
      </c>
      <c r="BV38" s="1">
        <f t="shared" si="75"/>
        <v>0</v>
      </c>
      <c r="BW38" s="1">
        <f t="shared" si="75"/>
        <v>0</v>
      </c>
      <c r="BX38" s="1">
        <f t="shared" si="75"/>
        <v>0</v>
      </c>
      <c r="BY38" s="1">
        <f t="shared" si="75"/>
        <v>0</v>
      </c>
    </row>
    <row r="39" spans="1:77" x14ac:dyDescent="0.25">
      <c r="A39" s="1" t="s">
        <v>117</v>
      </c>
      <c r="B39" s="1" t="s">
        <v>63</v>
      </c>
      <c r="C39" s="1" t="s">
        <v>64</v>
      </c>
      <c r="D39" s="1">
        <v>4045800</v>
      </c>
      <c r="E39" s="1">
        <v>5445700</v>
      </c>
      <c r="F39" s="1">
        <v>2884300</v>
      </c>
      <c r="G39" s="1">
        <v>2610800</v>
      </c>
      <c r="H39" s="1">
        <v>3841800</v>
      </c>
      <c r="I39" s="1">
        <v>5211000</v>
      </c>
      <c r="J39" s="1">
        <v>3755500</v>
      </c>
      <c r="K39" s="1">
        <v>4238000</v>
      </c>
      <c r="L39" s="1">
        <v>4418600</v>
      </c>
      <c r="M39" s="1">
        <v>7299800</v>
      </c>
      <c r="N39" s="1">
        <v>4241300</v>
      </c>
      <c r="O39" s="1">
        <v>3943400</v>
      </c>
      <c r="P39" s="1">
        <v>3270100</v>
      </c>
      <c r="Q39" s="1">
        <v>3760300</v>
      </c>
      <c r="R39" s="1">
        <v>2937900</v>
      </c>
      <c r="S39" s="1">
        <v>3739200</v>
      </c>
      <c r="T39" s="1">
        <v>3393300</v>
      </c>
      <c r="U39" s="1">
        <v>3783600</v>
      </c>
      <c r="V39" s="1">
        <v>9428500</v>
      </c>
      <c r="W39" s="1">
        <v>2021800</v>
      </c>
      <c r="X39" s="1">
        <v>1675800</v>
      </c>
      <c r="Y39" s="1">
        <v>2441800</v>
      </c>
      <c r="Z39" s="1">
        <v>1661800</v>
      </c>
      <c r="AA39" s="1">
        <v>1490800</v>
      </c>
      <c r="AB39" s="3">
        <f t="shared" si="0"/>
        <v>3814204.1666666665</v>
      </c>
      <c r="AC39" s="1">
        <f t="shared" si="1"/>
        <v>1773572.6171326488</v>
      </c>
      <c r="AD39" s="1">
        <f t="shared" ref="AD39:BA39" si="76">(D39-$AB39)/$AC39</f>
        <v>0.13058153418480073</v>
      </c>
      <c r="AE39" s="1">
        <f t="shared" si="76"/>
        <v>0.91989232218243644</v>
      </c>
      <c r="AF39" s="1">
        <f t="shared" si="76"/>
        <v>-0.52431130120290825</v>
      </c>
      <c r="AG39" s="1">
        <f t="shared" si="76"/>
        <v>-0.6785198164663937</v>
      </c>
      <c r="AH39" s="1">
        <f t="shared" si="76"/>
        <v>1.5559460642749394E-2</v>
      </c>
      <c r="AI39" s="1">
        <f t="shared" si="76"/>
        <v>0.78756055423969396</v>
      </c>
      <c r="AJ39" s="1">
        <f t="shared" si="76"/>
        <v>-3.309938713508899E-2</v>
      </c>
      <c r="AK39" s="1">
        <f t="shared" si="76"/>
        <v>0.23895037013961579</v>
      </c>
      <c r="AL39" s="1">
        <f t="shared" si="76"/>
        <v>0.34077873524596125</v>
      </c>
      <c r="AM39" s="1">
        <f t="shared" si="76"/>
        <v>1.9652963739192864</v>
      </c>
      <c r="AN39" s="1">
        <f t="shared" si="76"/>
        <v>0.2408110213292666</v>
      </c>
      <c r="AO39" s="1">
        <f t="shared" si="76"/>
        <v>7.2844963936241625E-2</v>
      </c>
      <c r="AP39" s="1">
        <f t="shared" si="76"/>
        <v>-0.30678426212191118</v>
      </c>
      <c r="AQ39" s="1">
        <f t="shared" si="76"/>
        <v>-3.0392985404687784E-2</v>
      </c>
      <c r="AR39" s="1">
        <f t="shared" si="76"/>
        <v>-0.4940898152134281</v>
      </c>
      <c r="AS39" s="1">
        <f t="shared" si="76"/>
        <v>-4.2289876344576427E-2</v>
      </c>
      <c r="AT39" s="1">
        <f t="shared" si="76"/>
        <v>-0.23731995104161349</v>
      </c>
      <c r="AU39" s="1">
        <f t="shared" si="76"/>
        <v>-1.7255660338365255E-2</v>
      </c>
      <c r="AV39" s="1">
        <f t="shared" si="76"/>
        <v>3.1655291579828391</v>
      </c>
      <c r="AW39" s="1">
        <f t="shared" si="76"/>
        <v>-1.0106178621343753</v>
      </c>
      <c r="AX39" s="1">
        <f t="shared" si="76"/>
        <v>-1.2057043202007958</v>
      </c>
      <c r="AY39" s="1">
        <f t="shared" si="76"/>
        <v>-0.77380771072426957</v>
      </c>
      <c r="AZ39" s="1">
        <f t="shared" si="76"/>
        <v>-1.2135979919144659</v>
      </c>
      <c r="BA39" s="1">
        <f t="shared" si="76"/>
        <v>-1.310013553560009</v>
      </c>
      <c r="BB39" s="1">
        <f t="shared" ref="BB39:BY39" si="77">IF(AD39&gt;=1,1,0)</f>
        <v>0</v>
      </c>
      <c r="BC39" s="1">
        <f t="shared" si="77"/>
        <v>0</v>
      </c>
      <c r="BD39" s="1">
        <f t="shared" si="77"/>
        <v>0</v>
      </c>
      <c r="BE39" s="1">
        <f t="shared" si="77"/>
        <v>0</v>
      </c>
      <c r="BF39" s="1">
        <f t="shared" si="77"/>
        <v>0</v>
      </c>
      <c r="BG39" s="1">
        <f t="shared" si="77"/>
        <v>0</v>
      </c>
      <c r="BH39" s="1">
        <f t="shared" si="77"/>
        <v>0</v>
      </c>
      <c r="BI39" s="1">
        <f t="shared" si="77"/>
        <v>0</v>
      </c>
      <c r="BJ39" s="1">
        <f t="shared" si="77"/>
        <v>0</v>
      </c>
      <c r="BK39" s="1">
        <f t="shared" si="77"/>
        <v>1</v>
      </c>
      <c r="BL39" s="1">
        <f t="shared" si="77"/>
        <v>0</v>
      </c>
      <c r="BM39" s="1">
        <f t="shared" si="77"/>
        <v>0</v>
      </c>
      <c r="BN39" s="1">
        <f t="shared" si="77"/>
        <v>0</v>
      </c>
      <c r="BO39" s="1">
        <f t="shared" si="77"/>
        <v>0</v>
      </c>
      <c r="BP39" s="1">
        <f t="shared" si="77"/>
        <v>0</v>
      </c>
      <c r="BQ39" s="1">
        <f t="shared" si="77"/>
        <v>0</v>
      </c>
      <c r="BR39" s="1">
        <f t="shared" si="77"/>
        <v>0</v>
      </c>
      <c r="BS39" s="1">
        <f t="shared" si="77"/>
        <v>0</v>
      </c>
      <c r="BT39" s="1">
        <f t="shared" si="77"/>
        <v>1</v>
      </c>
      <c r="BU39" s="1">
        <f t="shared" si="77"/>
        <v>0</v>
      </c>
      <c r="BV39" s="1">
        <f t="shared" si="77"/>
        <v>0</v>
      </c>
      <c r="BW39" s="1">
        <f t="shared" si="77"/>
        <v>0</v>
      </c>
      <c r="BX39" s="1">
        <f t="shared" si="77"/>
        <v>0</v>
      </c>
      <c r="BY39" s="1">
        <f t="shared" si="77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monitoring_freq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elenakazak28@outlook.com</cp:lastModifiedBy>
  <dcterms:modified xsi:type="dcterms:W3CDTF">2026-08-20T04:30:08Z</dcterms:modified>
</cp:coreProperties>
</file>